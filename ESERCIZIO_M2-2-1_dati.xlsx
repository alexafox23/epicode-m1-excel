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pasquale/Downloads/"/>
    </mc:Choice>
  </mc:AlternateContent>
  <xr:revisionPtr revIDLastSave="0" documentId="13_ncr:1_{02DF10D0-3A0E-4541-AA87-20B96EE8CE8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dotti" sheetId="1" r:id="rId1"/>
  </sheets>
  <definedNames>
    <definedName name="_xlchart.v1.3" hidden="1">Prodotti!$B$2:$B$11</definedName>
    <definedName name="_xlchart.v1.4" hidden="1">Prodotti!$E$2:$E$11</definedName>
    <definedName name="_xlchart.v2.0" hidden="1">Prodotti!$B$2:$B$11</definedName>
    <definedName name="_xlchart.v2.1" hidden="1">Prodotti!$E$1</definedName>
    <definedName name="_xlchart.v2.2" hidden="1">Prodotti!$E$2:$E$11</definedName>
    <definedName name="_xlchart.v2.5" hidden="1">Prodotti!$B$2:$B$11</definedName>
    <definedName name="_xlchart.v2.6" hidden="1">Prodotti!$E$1</definedName>
    <definedName name="_xlchart.v2.7" hidden="1">Prodotti!$E$2:$E$11</definedName>
    <definedName name="_xlnm.Print_Area" localSheetId="0">Prodotti!$A$1:$N$53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G2" i="1"/>
  <c r="E3" i="1"/>
  <c r="G3" i="1"/>
  <c r="E4" i="1"/>
  <c r="G4" i="1"/>
  <c r="E5" i="1"/>
  <c r="G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<sst xmlns="http://schemas.openxmlformats.org/spreadsheetml/2006/main" count="31" uniqueCount="20">
  <si>
    <t>Azienda</t>
  </si>
  <si>
    <t>Prodotto</t>
  </si>
  <si>
    <t>Quantità</t>
  </si>
  <si>
    <t>Prezzo</t>
  </si>
  <si>
    <t>Totale</t>
  </si>
  <si>
    <t>Tech Innovations Ltd.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</si>
  <si>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</si>
  <si>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</si>
  <si>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</si>
  <si>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</si>
  <si>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</si>
  <si>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</si>
  <si>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</si>
  <si>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</si>
  <si>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</si>
  <si>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</si>
  <si>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</si>
  <si>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</si>
  <si>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</si>
  <si>
    <t>Spesa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</si>
</sst>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4" fontId="0" fillId="0" borderId="0" xfId="1" applyFont="1"/>
    <xf numFmtId="44" fontId="2" fillId="0" borderId="0" xfId="1" applyFont="1"/>
    <xf numFmtId="0" fontId="1" fillId="0" borderId="0" xfId="0" applyFont="1" applyAlignment="1">
      <alignment horizontal="left" vertical="center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ripartizione</a:t>
            </a:r>
            <a:r>
              <a:rPr lang="en-US" baseline="0"/>
              <a:t> spesa totale per azienda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Prodotti!$G$1</c:f>
              <c:strCache>
                <c:ptCount val="1"/>
                <c:pt idx="0">
                  <c:v>Spesa 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A98-A84C-90F2-68E2FB044D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AA98-A84C-90F2-68E2FB044D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A98-A84C-90F2-68E2FB044D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AA98-A84C-90F2-68E2FB044D78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C3AE6A2-C408-2F43-A250-4FA103BF503E}" type="PERCENTAGE">
                      <a:rPr lang="en-US" sz="1400"/>
                      <a:pPr>
                        <a:defRPr sz="1400">
                          <a:solidFill>
                            <a:schemeClr val="bg1"/>
                          </a:solidFill>
                        </a:defRPr>
                      </a:pPr>
                      <a:t>[PERCENTUALE]</a:t>
                    </a:fld>
                    <a:endParaRPr lang="it-IT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883280757097791"/>
                      <c:h val="0.10250988081742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A98-A84C-90F2-68E2FB044D7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AA98-A84C-90F2-68E2FB044D7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A98-A84C-90F2-68E2FB044D7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AA98-A84C-90F2-68E2FB044D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Prodotti!$F$2:$F$5</c:f>
              <c:strCache>
                <c:ptCount val="4"/>
                <c:pt idx="0">
                  <c:v>AquaLux Dynamics</c:v>
                </c:pt>
                <c:pt idx="1">
                  <c:v>SolarTech Solutions</c:v>
                </c:pt>
                <c:pt idx="2">
                  <c:v>Tech Innovations Ltd.</c:v>
                </c:pt>
                <c:pt idx="3">
                  <c:v>EcoVibe Solutions</c:v>
                </c:pt>
              </c:strCache>
            </c:strRef>
          </c:cat>
          <c:val>
            <c:numRef>
              <c:f>Prodotti!$G$2:$G$5</c:f>
              <c:numCache>
                <c:formatCode>_("€"* #,##0.00_);_("€"* \(#,##0.00\);_("€"* "-"??_);_(@_)</c:formatCode>
                <c:ptCount val="4"/>
                <c:pt idx="0">
                  <c:v>37725</c:v>
                </c:pt>
                <c:pt idx="1">
                  <c:v>31100</c:v>
                </c:pt>
                <c:pt idx="2">
                  <c:v>25575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8-A84C-90F2-68E2FB044D7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517602235204473"/>
          <c:y val="0.45191891439102028"/>
          <c:w val="0.3454691389382778"/>
          <c:h val="0.292757915898810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Spesa totale per azienda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23069053523005756"/>
          <c:y val="0.16377284657599619"/>
          <c:w val="0.70436928118791764"/>
          <c:h val="0.7150756382724886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Prodotti!$G$1</c:f>
              <c:strCache>
                <c:ptCount val="1"/>
                <c:pt idx="0">
                  <c:v>Spesa totale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C7A-8540-B867-44E572A6DD9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7A-8540-B867-44E572A6DD9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FC7A-8540-B867-44E572A6DD9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D5350C8-4FEE-0347-81F7-B7E2DF2FD430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C7A-8540-B867-44E572A6DD9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10482E0-1C76-2845-BA1C-D8B6FBDB7203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C7A-8540-B867-44E572A6DD9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B321CD9-679F-744A-852F-F44DB1A321C2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C7A-8540-B867-44E572A6DD9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475EAAF-7C08-1940-88AF-E081E4AD6D26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C7A-8540-B867-44E572A6DD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Prodotti!$F$2:$F$5</c:f>
              <c:strCache>
                <c:ptCount val="4"/>
                <c:pt idx="0">
                  <c:v>AquaLux Dynamics</c:v>
                </c:pt>
                <c:pt idx="1">
                  <c:v>SolarTech Solutions</c:v>
                </c:pt>
                <c:pt idx="2">
                  <c:v>Tech Innovations Ltd.</c:v>
                </c:pt>
                <c:pt idx="3">
                  <c:v>EcoVibe Solutions</c:v>
                </c:pt>
              </c:strCache>
            </c:strRef>
          </c:cat>
          <c:val>
            <c:numRef>
              <c:f>Prodotti!$G$2:$G$5</c:f>
              <c:numCache>
                <c:formatCode>_("€"* #,##0.00_);_("€"* \(#,##0.00\);_("€"* "-"??_);_(@_)</c:formatCode>
                <c:ptCount val="4"/>
                <c:pt idx="0">
                  <c:v>37725</c:v>
                </c:pt>
                <c:pt idx="1">
                  <c:v>31100</c:v>
                </c:pt>
                <c:pt idx="2">
                  <c:v>25575</c:v>
                </c:pt>
                <c:pt idx="3">
                  <c:v>13500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Prodotti!$G$2:$G$5</c15:f>
                <c15:dlblRangeCache>
                  <c:ptCount val="4"/>
                  <c:pt idx="0">
                    <c:v> 37.725,00 € </c:v>
                  </c:pt>
                  <c:pt idx="1">
                    <c:v> 31.100,00 € </c:v>
                  </c:pt>
                  <c:pt idx="2">
                    <c:v> 25.575,00 € </c:v>
                  </c:pt>
                  <c:pt idx="3">
                    <c:v> 13.500,00 €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C7A-8540-B867-44E572A6DD9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overlap val="100"/>
        <c:axId val="620521232"/>
        <c:axId val="620660464"/>
      </c:barChart>
      <c:catAx>
        <c:axId val="6205212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0660464"/>
        <c:crosses val="autoZero"/>
        <c:auto val="1"/>
        <c:lblAlgn val="ctr"/>
        <c:lblOffset val="100"/>
        <c:noMultiLvlLbl val="0"/>
      </c:catAx>
      <c:valAx>
        <c:axId val="620660464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,##0_-;\-* #,##0_-;_-* &quot;-&quot;??_-;_-@_-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0521232"/>
        <c:crosses val="autoZero"/>
        <c:crossBetween val="between"/>
        <c:dispUnits>
          <c:builtInUnit val="thousands"/>
          <c:dispUnitsLbl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it-IT"/>
                    <a:t>Valori in migliaia di €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kumimoji="0" lang="it-IT" sz="1400" b="1" i="0" u="none" strike="noStrike" kern="1200" cap="none" spc="0" normalizeH="0" baseline="0" noProof="0">
                <a:ln>
                  <a:noFill/>
                </a:ln>
                <a:solidFill>
                  <a:srgbClr val="000000">
                    <a:lumMod val="65000"/>
                    <a:lumOff val="35000"/>
                  </a:srgbClr>
                </a:solidFill>
                <a:effectLst/>
                <a:uLnTx/>
                <a:uFillTx/>
                <a:latin typeface="Arial"/>
                <a:cs typeface="Arial"/>
              </a:rPr>
              <a:t>Confronto sul totale spesa per prodotto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cat>
            <c:strRef>
              <c:f>Prodotti!$B$2:$B$11</c:f>
              <c:strCache>
                <c:ptCount val="10"/>
                <c:pt idx="0">
                  <c:v>Vibrazione</c:v>
                </c:pt>
                <c:pt idx="1">
                  <c:v>Crema</c:v>
                </c:pt>
                <c:pt idx="2">
                  <c:v>Acqua</c:v>
                </c:pt>
                <c:pt idx="3">
                  <c:v>Pianeta</c:v>
                </c:pt>
                <c:pt idx="4">
                  <c:v>Orizzonte</c:v>
                </c:pt>
                <c:pt idx="5">
                  <c:v>Cibo</c:v>
                </c:pt>
                <c:pt idx="6">
                  <c:v>Pannelli</c:v>
                </c:pt>
                <c:pt idx="7">
                  <c:v>Infinito</c:v>
                </c:pt>
                <c:pt idx="8">
                  <c:v>Tecnologia</c:v>
                </c:pt>
                <c:pt idx="9">
                  <c:v>Quanti</c:v>
                </c:pt>
              </c:strCache>
            </c:strRef>
          </c:cat>
          <c:val>
            <c:numRef>
              <c:f>Prodotti!$E$2:$E$11</c:f>
              <c:numCache>
                <c:formatCode>_("€"* #,##0.00_);_("€"* \(#,##0.00\);_("€"* "-"??_);_(@_)</c:formatCode>
                <c:ptCount val="10"/>
                <c:pt idx="0">
                  <c:v>13500</c:v>
                </c:pt>
                <c:pt idx="1">
                  <c:v>13125</c:v>
                </c:pt>
                <c:pt idx="2">
                  <c:v>12600</c:v>
                </c:pt>
                <c:pt idx="3">
                  <c:v>12000</c:v>
                </c:pt>
                <c:pt idx="4">
                  <c:v>11550</c:v>
                </c:pt>
                <c:pt idx="5">
                  <c:v>10200</c:v>
                </c:pt>
                <c:pt idx="6">
                  <c:v>9800</c:v>
                </c:pt>
                <c:pt idx="7">
                  <c:v>9750</c:v>
                </c:pt>
                <c:pt idx="8">
                  <c:v>7875</c:v>
                </c:pt>
                <c:pt idx="9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80-A943-BE62-FAB1FE336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027696"/>
        <c:axId val="1082304336"/>
      </c:barChart>
      <c:catAx>
        <c:axId val="54302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2304336"/>
        <c:crosses val="autoZero"/>
        <c:auto val="1"/>
        <c:lblAlgn val="ctr"/>
        <c:lblOffset val="100"/>
        <c:noMultiLvlLbl val="0"/>
      </c:catAx>
      <c:valAx>
        <c:axId val="1082304336"/>
        <c:scaling>
          <c:orientation val="minMax"/>
        </c:scaling>
        <c:delete val="0"/>
        <c:axPos val="l"/>
        <c:majorGridlines/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crossAx val="54302769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Spesa totale per prodotto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Spesa totale per prodotto</a:t>
          </a:r>
        </a:p>
      </cx:txPr>
    </cx:title>
    <cx:plotArea>
      <cx:plotAreaRegion>
        <cx:series layoutId="funnel" uniqueId="{7E28F56B-877F-A049-8BCB-F68022E54C23}">
          <cx:tx>
            <cx:txData>
              <cx:f>_xlchart.v2.1</cx:f>
              <cx:v>Totale</cx:v>
            </cx:txData>
          </cx:tx>
          <cx:spPr>
            <a:solidFill>
              <a:schemeClr val="accent1"/>
            </a:solidFill>
          </cx:spPr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18</xdr:row>
      <xdr:rowOff>50800</xdr:rowOff>
    </xdr:from>
    <xdr:to>
      <xdr:col>5</xdr:col>
      <xdr:colOff>1041400</xdr:colOff>
      <xdr:row>33</xdr:row>
      <xdr:rowOff>177800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A810999-0497-129A-8FB3-FEAED6C9F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1016000</xdr:colOff>
      <xdr:row>34</xdr:row>
      <xdr:rowOff>88900</xdr:rowOff>
    </xdr:from>
    <xdr:to>
      <xdr:col>6</xdr:col>
      <xdr:colOff>12700</xdr:colOff>
      <xdr:row>50</xdr:row>
      <xdr:rowOff>101600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828B535-1323-C131-B9ED-62A3F8153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0</xdr:row>
      <xdr:rowOff>25400</xdr:rowOff>
    </xdr:from>
    <xdr:to>
      <xdr:col>13</xdr:col>
      <xdr:colOff>292100</xdr:colOff>
      <xdr:row>17</xdr:row>
      <xdr:rowOff>25400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53BECAD6-DFD3-B808-5CC8-21C01778E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152400</xdr:colOff>
      <xdr:row>22</xdr:row>
      <xdr:rowOff>184150</xdr:rowOff>
    </xdr:from>
    <xdr:to>
      <xdr:col>13</xdr:col>
      <xdr:colOff>406400</xdr:colOff>
      <xdr:row>44</xdr:row>
      <xdr:rowOff>165100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Grafico 4">
              <a:extLst>
                <a:ext uri="{FF2B5EF4-FFF2-40B4-BE49-F238E27FC236}">
                  <a16:creationId xmlns:a16="http://schemas.microsoft.com/office/drawing/2014/main" id="{D3290002-1A34-7C9D-C164-31B613D6B0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15300" y="4375150"/>
              <a:ext cx="6045200" cy="4171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1"/>
  <sheetViews>
    <sheetView tabSelected="1" zoomScaleNormal="100" workbookViewId="0">
      <selection activeCell="P18" sqref="P18"/>
    </sheetView>
  </sheetViews>
  <sheetFormatPr baseColWidth="10" defaultColWidth="12.6640625" defaultRowHeight="15.75" customHeight="1" x14ac:dyDescent="0.15"/>
  <cols>
    <col min="1" max="1" width="19.6640625" customWidth="1"/>
    <col min="2" max="2" width="9.6640625" bestFit="1" customWidth="1"/>
    <col min="3" max="3" width="8.6640625" bestFit="1" customWidth="1"/>
    <col min="4" max="4" width="7.83203125" bestFit="1" customWidth="1"/>
    <col min="5" max="5" width="15.1640625" customWidth="1"/>
    <col min="6" max="6" width="18.1640625" bestFit="1" customWidth="1"/>
  </cols>
  <sheetData>
    <row r="1" spans="1:25" ht="15.75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0</v>
      </c>
      <c r="G1" s="1" t="s">
        <v>19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15">
      <c r="A2" s="2" t="s">
        <v>17</v>
      </c>
      <c r="B2" s="2" t="s">
        <v>18</v>
      </c>
      <c r="C2" s="2">
        <v>1000</v>
      </c>
      <c r="D2" s="4">
        <v>13.5</v>
      </c>
      <c r="E2" s="3">
        <f t="shared" ref="E2:E11" si="0">C2*D2</f>
        <v>13500</v>
      </c>
      <c r="F2" s="2" t="s">
        <v>12</v>
      </c>
      <c r="G2" s="3">
        <f>SUMIF($A$2:$A$11,F2,$E$2:$E$11)</f>
        <v>37725</v>
      </c>
    </row>
    <row r="3" spans="1:25" ht="15.75" customHeight="1" x14ac:dyDescent="0.15">
      <c r="A3" s="2" t="s">
        <v>12</v>
      </c>
      <c r="B3" s="2" t="s">
        <v>13</v>
      </c>
      <c r="C3" s="2">
        <v>700</v>
      </c>
      <c r="D3" s="4">
        <v>18.75</v>
      </c>
      <c r="E3" s="3">
        <f t="shared" si="0"/>
        <v>13125</v>
      </c>
      <c r="F3" s="2" t="s">
        <v>8</v>
      </c>
      <c r="G3" s="3">
        <f>SUMIF($A$2:$A$11,F3,$E$2:$E$11)</f>
        <v>31100</v>
      </c>
    </row>
    <row r="4" spans="1:25" ht="15.75" customHeight="1" x14ac:dyDescent="0.15">
      <c r="A4" s="2" t="s">
        <v>12</v>
      </c>
      <c r="B4" s="2" t="s">
        <v>14</v>
      </c>
      <c r="C4" s="2">
        <v>900</v>
      </c>
      <c r="D4" s="4">
        <v>14</v>
      </c>
      <c r="E4" s="3">
        <f t="shared" si="0"/>
        <v>12600</v>
      </c>
      <c r="F4" s="2" t="s">
        <v>5</v>
      </c>
      <c r="G4" s="3">
        <f>SUMIF($A$2:$A$11,F4,$E$2:$E$11)</f>
        <v>25575</v>
      </c>
    </row>
    <row r="5" spans="1:25" ht="15.75" customHeight="1" x14ac:dyDescent="0.15">
      <c r="A5" s="2" t="s">
        <v>12</v>
      </c>
      <c r="B5" s="2" t="s">
        <v>16</v>
      </c>
      <c r="C5" s="2">
        <v>600</v>
      </c>
      <c r="D5" s="4">
        <v>20</v>
      </c>
      <c r="E5" s="3">
        <f t="shared" si="0"/>
        <v>12000</v>
      </c>
      <c r="F5" s="2" t="s">
        <v>17</v>
      </c>
      <c r="G5" s="3">
        <f>SUMIF($A$2:$A$11,F5,$E$2:$E$11)</f>
        <v>13500</v>
      </c>
    </row>
    <row r="6" spans="1:25" ht="15.75" customHeight="1" x14ac:dyDescent="0.15">
      <c r="A6" s="2" t="s">
        <v>8</v>
      </c>
      <c r="B6" s="2" t="s">
        <v>15</v>
      </c>
      <c r="C6" s="2">
        <v>1100</v>
      </c>
      <c r="D6" s="4">
        <v>10.5</v>
      </c>
      <c r="E6" s="3">
        <f t="shared" si="0"/>
        <v>11550</v>
      </c>
    </row>
    <row r="7" spans="1:25" ht="15.75" customHeight="1" x14ac:dyDescent="0.15">
      <c r="A7" s="2" t="s">
        <v>5</v>
      </c>
      <c r="B7" s="2" t="s">
        <v>7</v>
      </c>
      <c r="C7" s="2">
        <v>1200</v>
      </c>
      <c r="D7" s="4">
        <v>8.5</v>
      </c>
      <c r="E7" s="3">
        <f t="shared" si="0"/>
        <v>10200</v>
      </c>
    </row>
    <row r="8" spans="1:25" ht="15.75" customHeight="1" x14ac:dyDescent="0.15">
      <c r="A8" s="2" t="s">
        <v>8</v>
      </c>
      <c r="B8" s="2" t="s">
        <v>9</v>
      </c>
      <c r="C8" s="2">
        <v>800</v>
      </c>
      <c r="D8" s="4">
        <v>12.25</v>
      </c>
      <c r="E8" s="3">
        <f t="shared" si="0"/>
        <v>9800</v>
      </c>
    </row>
    <row r="9" spans="1:25" ht="15.75" customHeight="1" x14ac:dyDescent="0.15">
      <c r="A9" s="2" t="s">
        <v>8</v>
      </c>
      <c r="B9" s="2" t="s">
        <v>11</v>
      </c>
      <c r="C9" s="2">
        <v>1500</v>
      </c>
      <c r="D9" s="4">
        <v>6.5</v>
      </c>
      <c r="E9" s="3">
        <f t="shared" si="0"/>
        <v>9750</v>
      </c>
    </row>
    <row r="10" spans="1:25" ht="15.75" customHeight="1" x14ac:dyDescent="0.15">
      <c r="A10" s="2" t="s">
        <v>5</v>
      </c>
      <c r="B10" s="2" t="s">
        <v>6</v>
      </c>
      <c r="C10" s="2">
        <v>500</v>
      </c>
      <c r="D10" s="4">
        <v>15.75</v>
      </c>
      <c r="E10" s="3">
        <f t="shared" si="0"/>
        <v>7875</v>
      </c>
    </row>
    <row r="11" spans="1:25" ht="15.75" customHeight="1" x14ac:dyDescent="0.15">
      <c r="A11" s="2" t="s">
        <v>5</v>
      </c>
      <c r="B11" s="2" t="s">
        <v>10</v>
      </c>
      <c r="C11" s="2">
        <v>300</v>
      </c>
      <c r="D11" s="4">
        <v>25</v>
      </c>
      <c r="E11" s="3">
        <f t="shared" si="0"/>
        <v>7500</v>
      </c>
    </row>
  </sheetData>
  <sortState xmlns:xlrd2="http://schemas.microsoft.com/office/spreadsheetml/2017/richdata2" ref="A2:E11">
    <sortCondition descending="1" ref="E2:E11"/>
  </sortState>
  <pageMargins left="0.196850393700787" right="0.196850393700787" top="0.39370078740157499" bottom="0.39370078740157499" header="7.8740157480315001E-2" footer="0.3"/>
  <pageSetup paperSize="9" orientation="portrait" horizontalDpi="0" verticalDpi="0"/>
  <headerFooter>
    <oddHeader>&amp;L&amp;"Arial,Normale"&amp;12&amp;K000000Spese recenti</oddHeader>
    <oddFooter>&amp;L&amp;"Arial,Normale"&amp;K000000&amp;D&amp;R&amp;"Arial,Normale"&amp;K000000&amp;P</oddFooter>
  </headerFooter>
  <rowBreaks count="1" manualBreakCount="1">
    <brk id="18" max="16383" man="1"/>
  </rowBreaks>
  <colBreaks count="1" manualBreakCount="1">
    <brk id="14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Prodotti</vt:lpstr>
      <vt:lpstr>Prodotti!Area_stampa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Oancea</cp:lastModifiedBy>
  <dcterms:modified xsi:type="dcterms:W3CDTF">2026-02-20T16:14:29Z</dcterms:modified>
</cp:coreProperties>
</file>
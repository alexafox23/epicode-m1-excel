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asquale/Downloads/"/>
    </mc:Choice>
  </mc:AlternateContent>
  <xr:revisionPtr revIDLastSave="0" documentId="13_ncr:1_{D3A89D47-F8B2-1A49-9F7C-EAFA5DA66C7E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Fatture!$G$1:$I$1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">Assoluti_Iva!$F$2</definedName>
    <definedName name="IVATOT">Assoluti_Iva!$D$1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9" i="3" l="1"/>
  <c r="I10" i="3"/>
  <c r="I11" i="3"/>
  <c r="I12" i="3"/>
  <c r="I13" i="3"/>
  <c r="I14" i="3"/>
  <c r="I8" i="3"/>
  <c r="L64" i="3"/>
  <c r="L66" i="3"/>
  <c r="I3" i="3"/>
  <c r="I5" i="3"/>
  <c r="I4" i="3"/>
  <c r="I2" i="3"/>
  <c r="H9" i="3"/>
  <c r="H10" i="3"/>
  <c r="H11" i="3"/>
  <c r="H12" i="3"/>
  <c r="H13" i="3"/>
  <c r="H14" i="3"/>
  <c r="H8" i="3"/>
  <c r="H4" i="3"/>
  <c r="H5" i="3"/>
  <c r="H3" i="3"/>
  <c r="H2" i="3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</calcChain>
</file>

<file path=xl/sharedStrings.xml><?xml version="1.0" encoding="utf-8"?>
<sst xmlns="http://schemas.openxmlformats.org/spreadsheetml/2006/main" count="821" uniqueCount="582">
  <si>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</si>
  <si>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</si>
  <si>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</si>
  <si>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</si>
  <si>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</si>
  <si>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</si>
  <si>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</si>
  <si>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</si>
  <si>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</si>
  <si>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</si>
  <si>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</si>
  <si>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</si>
  <si>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</si>
  <si>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</si>
  <si>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</si>
  <si>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</si>
  <si>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</si>
  <si>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</si>
  <si>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</si>
  <si>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</si>
  <si>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</si>
  <si>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</si>
  <si>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</si>
  <si>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</si>
  <si>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</si>
  <si>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</si>
  <si>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</si>
  <si>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</si>
  <si>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</si>
  <si>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</si>
  <si>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</si>
  <si>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</si>
  <si>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</si>
  <si>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</si>
  <si>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</si>
  <si>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</si>
  <si>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</si>
  <si>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</si>
  <si>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</si>
  <si>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</si>
  <si>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</si>
  <si>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</si>
  <si>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</si>
  <si>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</si>
  <si>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</si>
  <si>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</si>
  <si>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</si>
  <si>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</si>
  <si>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</si>
  <si>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</si>
  <si>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</si>
  <si>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</si>
  <si>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</si>
  <si>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</si>
  <si>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</si>
  <si>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</si>
  <si>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</si>
  <si>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</si>
  <si>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</si>
  <si>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</si>
  <si>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</si>
  <si>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</si>
  <si>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</si>
  <si>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</si>
  <si>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</si>
  <si>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</si>
  <si>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</si>
  <si>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</si>
  <si>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</si>
  <si>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</si>
  <si>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</si>
  <si>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</si>
  <si>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</si>
  <si>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</si>
  <si>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</si>
  <si>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</si>
  <si>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</si>
  <si>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</si>
  <si>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</si>
  <si>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</si>
  <si>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</si>
  <si>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</si>
  <si>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</si>
  <si>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</si>
  <si>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</si>
  <si>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</si>
  <si>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</si>
  <si>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</si>
  <si>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</si>
  <si>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</si>
  <si>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</si>
  <si>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</si>
  <si>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</si>
  <si>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</si>
  <si>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</si>
  <si>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</si>
  <si>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</si>
  <si>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</si>
  <si>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</si>
  <si>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</si>
  <si>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</si>
  <si>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</si>
  <si>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</si>
  <si>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</si>
  <si>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</si>
  <si>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</si>
  <si>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</si>
  <si>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</si>
  <si>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</si>
  <si>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</si>
  <si>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</si>
  <si>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</si>
  <si>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</si>
  <si>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</si>
  <si>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</si>
  <si>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</si>
  <si>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</si>
  <si>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</si>
  <si>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</si>
  <si>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</si>
  <si>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</si>
  <si>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</si>
  <si>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</si>
  <si>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</si>
  <si>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</si>
  <si>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</si>
  <si>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</si>
  <si>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</si>
  <si>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</si>
  <si>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</si>
  <si>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</si>
  <si>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</si>
  <si>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</si>
  <si>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</si>
  <si>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</si>
  <si>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</si>
  <si>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</si>
  <si>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</si>
  <si>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</si>
  <si>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</si>
  <si>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</si>
  <si>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</si>
  <si>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</si>
  <si>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</si>
  <si>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</si>
  <si>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</si>
  <si>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</si>
  <si>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</si>
  <si>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</si>
  <si>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</si>
  <si>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</si>
  <si>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</si>
  <si>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</si>
  <si>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</si>
  <si>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</si>
  <si>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</si>
  <si>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</si>
  <si>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</si>
  <si>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</si>
  <si>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</si>
  <si>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</si>
  <si>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</si>
  <si>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</si>
  <si>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</si>
  <si>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</si>
  <si>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</si>
  <si>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</si>
  <si>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</si>
  <si>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</si>
  <si>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</si>
  <si>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</si>
  <si>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</si>
  <si>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</si>
  <si>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</si>
  <si>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</si>
  <si>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</si>
  <si>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</si>
  <si>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</si>
  <si>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</si>
  <si>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</si>
  <si>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</si>
  <si>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</si>
  <si>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</si>
  <si>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</si>
  <si>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</si>
  <si>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</si>
  <si>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</si>
  <si>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</si>
  <si>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</si>
  <si>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</si>
  <si>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</si>
  <si>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</si>
  <si>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</si>
  <si>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</si>
  <si>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</si>
  <si>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</si>
  <si>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</si>
  <si>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</si>
  <si>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</si>
  <si>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</si>
  <si>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</si>
  <si>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</si>
  <si>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</si>
  <si>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</si>
  <si>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</si>
  <si>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</si>
  <si>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</si>
  <si>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</si>
  <si>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</si>
  <si>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</si>
  <si>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</si>
  <si>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</si>
  <si>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</si>
  <si>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</si>
  <si>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</si>
  <si>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</si>
  <si>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</si>
  <si>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</si>
  <si>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</si>
  <si>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</si>
  <si>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</si>
  <si>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</si>
  <si>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</si>
  <si>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</si>
  <si>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</si>
  <si>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</si>
  <si>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</si>
  <si>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</si>
  <si>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</si>
  <si>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</si>
  <si>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</si>
  <si>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</si>
  <si>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</si>
  <si>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</si>
  <si>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</si>
  <si>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</si>
  <si>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</si>
  <si>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</si>
  <si>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</si>
  <si>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</si>
  <si>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</si>
  <si>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</si>
  <si>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</si>
  <si>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</si>
  <si>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</si>
  <si>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</si>
  <si>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</si>
  <si>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</si>
  <si>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</si>
  <si>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</si>
  <si>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</si>
  <si>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</si>
  <si>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</si>
  <si>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</si>
  <si>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</si>
  <si>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</si>
  <si>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</si>
  <si>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</si>
  <si>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</si>
  <si>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</si>
  <si>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</si>
  <si>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</si>
  <si>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</si>
  <si>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</si>
  <si>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</si>
  <si>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</si>
  <si>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</si>
  <si>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</si>
  <si>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</si>
  <si>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</si>
  <si>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</si>
  <si>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</si>
  <si>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</si>
  <si>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</si>
  <si>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</si>
  <si>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</si>
  <si>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</si>
  <si>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</si>
  <si>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</si>
  <si>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</si>
  <si>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</si>
  <si>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</si>
  <si>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</si>
  <si>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</si>
  <si>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</si>
  <si>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</si>
  <si>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</si>
  <si>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</si>
  <si>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</si>
  <si>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</si>
  <si>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</si>
  <si>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</si>
  <si>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</si>
  <si>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</si>
  <si>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</si>
  <si>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</si>
  <si>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</si>
  <si>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</si>
  <si>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</si>
  <si>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</si>
  <si>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</si>
  <si>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</si>
  <si>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</si>
  <si>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</si>
  <si>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</si>
  <si>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</si>
  <si>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</si>
  <si>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</si>
  <si>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</si>
  <si>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</si>
  <si>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</si>
  <si>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</si>
  <si>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</si>
  <si>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</si>
  <si>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</si>
  <si>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</si>
  <si>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</si>
  <si>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</si>
  <si>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</si>
  <si>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</si>
  <si>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</si>
  <si>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</si>
  <si>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</si>
  <si>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</si>
  <si>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</si>
  <si>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</si>
  <si>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</si>
  <si>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</si>
  <si>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</si>
  <si>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</si>
  <si>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</si>
  <si>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</si>
  <si>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</si>
  <si>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</si>
  <si>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</si>
  <si>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</si>
  <si>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</si>
  <si>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</si>
  <si>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</si>
  <si>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</si>
  <si>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</si>
  <si>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</si>
  <si>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</si>
  <si>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</si>
  <si>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</si>
  <si>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</si>
  <si>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</si>
  <si>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</si>
  <si>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</si>
  <si>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</si>
  <si>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</si>
  <si>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</si>
  <si>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</si>
  <si>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</si>
  <si>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</si>
  <si>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</si>
  <si>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</si>
  <si>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</si>
  <si>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</si>
  <si>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</si>
  <si>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</si>
  <si>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</si>
  <si>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</si>
  <si>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</si>
  <si>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</si>
  <si>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</si>
  <si>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</si>
  <si>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</si>
  <si>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</si>
  <si>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</si>
  <si>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</si>
  <si>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</si>
  <si>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</si>
  <si>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</si>
  <si>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</si>
  <si>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</si>
  <si>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</si>
  <si>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</si>
  <si>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</si>
  <si>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</si>
  <si>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</si>
  <si>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</si>
  <si>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</si>
  <si>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</si>
  <si>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</si>
  <si>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</si>
  <si>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</si>
  <si>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</si>
  <si>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</si>
  <si>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</si>
  <si>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</si>
  <si>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</si>
  <si>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</si>
  <si>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</si>
  <si>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</si>
  <si>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</si>
  <si>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</si>
  <si>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</si>
  <si>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</si>
  <si>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</si>
  <si>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</si>
  <si>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</si>
  <si>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</si>
  <si>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</si>
  <si>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</si>
  <si>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</si>
  <si>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</si>
  <si>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</si>
  <si>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</si>
  <si>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</si>
  <si>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</si>
  <si>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</si>
  <si>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</si>
  <si>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</si>
  <si>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</si>
  <si>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</si>
  <si>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</si>
  <si>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</si>
  <si>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</si>
  <si>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</si>
  <si>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</si>
  <si>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</si>
  <si>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</si>
  <si>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</si>
  <si>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</si>
  <si>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</si>
  <si>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</si>
  <si>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</si>
  <si>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</si>
  <si>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</si>
  <si>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</si>
  <si>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</si>
  <si>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</si>
  <si>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</si>
  <si>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</si>
  <si>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</si>
  <si>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</si>
  <si>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</si>
  <si>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</si>
  <si>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</si>
  <si>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</si>
  <si>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</si>
  <si>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</si>
  <si>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</si>
  <si>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</si>
  <si>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</si>
  <si>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</si>
  <si>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</si>
  <si>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</si>
  <si>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</si>
  <si>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</si>
  <si>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</si>
  <si>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</si>
  <si>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</si>
  <si>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</si>
  <si>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</si>
  <si>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</si>
  <si>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</si>
  <si>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</si>
  <si>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</si>
  <si>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</si>
  <si>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</si>
  <si>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</si>
  <si>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</si>
  <si>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</si>
  <si>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</si>
  <si>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</si>
  <si>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</si>
  <si>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</si>
  <si>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</si>
  <si>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</si>
  <si>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</si>
  <si>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</si>
  <si>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</si>
  <si>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</si>
  <si>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</si>
  <si>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</si>
  <si>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</si>
  <si>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</si>
  <si>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</si>
  <si>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</si>
  <si>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</si>
  <si>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</si>
  <si>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</si>
  <si>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</si>
  <si>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</si>
  <si>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</si>
  <si>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</si>
  <si>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</si>
  <si>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</si>
  <si>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</si>
  <si>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</si>
  <si>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</si>
  <si>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</si>
  <si>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</si>
  <si>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</si>
  <si>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</si>
  <si>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</si>
  <si>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</si>
  <si>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</si>
  <si>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</si>
  <si>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</si>
  <si>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</si>
  <si>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</si>
  <si>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</si>
  <si>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</si>
  <si>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</si>
  <si>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</si>
  <si>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</si>
  <si>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</si>
  <si>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</si>
  <si>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</si>
  <si>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</si>
  <si>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</si>
  <si>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</si>
  <si>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</si>
  <si>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</si>
  <si>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</si>
  <si>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</si>
  <si>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</si>
  <si>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</si>
  <si>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</si>
  <si>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</si>
  <si>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</si>
  <si>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</si>
  <si>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</si>
  <si>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</si>
  <si>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</si>
  <si>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</si>
  <si>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</si>
  <si>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</si>
  <si>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</si>
  <si>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</si>
  <si>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</si>
  <si>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</si>
  <si>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</si>
  <si>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</si>
  <si>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</si>
  <si>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</si>
  <si>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</si>
  <si>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</si>
  <si>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</si>
  <si>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</si>
  <si>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</si>
  <si>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</si>
  <si>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</si>
  <si>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</si>
  <si>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</si>
  <si>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</si>
  <si>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</si>
  <si>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</si>
  <si>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</si>
  <si>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</si>
  <si>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</si>
  <si>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</si>
  <si>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</si>
  <si>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</si>
  <si>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</si>
  <si>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</si>
  <si>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</si>
  <si>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</si>
  <si>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</si>
  <si>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</si>
  <si>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</si>
  <si>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</si>
  <si>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</si>
  <si>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</si>
  <si>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</si>
  <si>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</si>
  <si>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VALORE IVA</t>
  </si>
  <si>
    <t xml:space="preserve">IVA </t>
  </si>
  <si>
    <t>ESITO</t>
  </si>
  <si>
    <t>PUNTEGGI</t>
  </si>
  <si>
    <t>RESPINTO</t>
  </si>
  <si>
    <t>SUFFICIENTE</t>
  </si>
  <si>
    <t>DISCRETO</t>
  </si>
  <si>
    <t>BUONO</t>
  </si>
  <si>
    <t>VALUTAZIONE</t>
  </si>
  <si>
    <t>Categorie</t>
  </si>
  <si>
    <t>Clienti</t>
  </si>
  <si>
    <t>Tot. Fatturato</t>
  </si>
  <si>
    <t>Tot. fatture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</si>
</sst>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_-* #,##0.00\ [$€-803]_-;\-* #,##0.00\ [$€-803]_-;_-* &quot;-&quot;??\ [$€-803]_-;_-@_-"/>
  </numFmts>
  <fonts count="9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8" fillId="0" borderId="0" xfId="0" applyFont="1"/>
    <xf numFmtId="167" fontId="0" fillId="0" borderId="0" xfId="0" applyNumberFormat="1"/>
    <xf numFmtId="9" fontId="2" fillId="0" borderId="0" xfId="0" applyNumberFormat="1" applyFont="1"/>
    <xf numFmtId="167" fontId="2" fillId="0" borderId="0" xfId="0" applyNumberFormat="1" applyFont="1"/>
    <xf numFmtId="44" fontId="5" fillId="0" borderId="1" xfId="1" applyFont="1" applyBorder="1"/>
    <xf numFmtId="44" fontId="0" fillId="0" borderId="0" xfId="1" applyFont="1"/>
  </cellXfs>
  <cellStyles count="2">
    <cellStyle name="Normale" xfId="0" builtinId="0"/>
    <cellStyle name="Valuta" xfId="1" builtinId="4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78F340A0-1696-664E-A86E-487F3071CC46}" name="Colonna1"/>
    <tableColumn id="5" xr3:uid="{AC6130CA-AA0C-8A4B-9D93-88174C6FABBA}" name="Colonna2" dataDxfId="0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7"/>
  <sheetViews>
    <sheetView zoomScale="120" zoomScaleNormal="120" workbookViewId="0">
      <pane ySplit="1" topLeftCell="A2" activePane="bottomLeft" state="frozen"/>
      <selection pane="bottomLeft" activeCell="F7" sqref="F7"/>
    </sheetView>
  </sheetViews>
  <sheetFormatPr baseColWidth="10" defaultColWidth="14.3984375" defaultRowHeight="15" customHeight="1" x14ac:dyDescent="0.2"/>
  <cols>
    <col min="1" max="1" width="41.19921875" customWidth="1"/>
    <col min="2" max="2" width="54.3984375" customWidth="1"/>
    <col min="3" max="3" width="27.19921875" customWidth="1"/>
    <col min="4" max="4" width="16" bestFit="1" customWidth="1"/>
    <col min="5" max="5" width="87" bestFit="1" customWidth="1"/>
    <col min="6" max="23" width="8.796875" customWidth="1"/>
  </cols>
  <sheetData>
    <row r="1" spans="1:23" ht="12.75" customHeight="1" x14ac:dyDescent="0.2">
      <c r="A1" s="1" t="s">
        <v>0</v>
      </c>
      <c r="B1" s="1" t="s">
        <v>1</v>
      </c>
      <c r="C1" s="2" t="s">
        <v>2</v>
      </c>
      <c r="D1" s="3" t="s">
        <v>569</v>
      </c>
      <c r="F1" s="4" t="s">
        <v>570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2.75" customHeight="1" x14ac:dyDescent="0.2">
      <c r="A2" s="4" t="s">
        <v>3</v>
      </c>
      <c r="B2" s="4" t="s">
        <v>4</v>
      </c>
      <c r="C2" s="5">
        <v>281000</v>
      </c>
      <c r="D2" s="18">
        <f>C2-(C2/(1+IVA))</f>
        <v>46833.333333333314</v>
      </c>
      <c r="E2" s="16" t="str">
        <f>_xlfn.CONCAT(A2," ",B2)</f>
        <v>MON.SVGA 0,28 14" AOC 4VLR 1024 x 768, MPR II, N.I.,  Energy Star Digital</v>
      </c>
      <c r="F2" s="17">
        <v>0.2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2.75" customHeight="1" x14ac:dyDescent="0.2">
      <c r="A3" s="4" t="s">
        <v>5</v>
      </c>
      <c r="B3" s="4" t="s">
        <v>6</v>
      </c>
      <c r="C3" s="5">
        <v>323000</v>
      </c>
      <c r="D3" s="18">
        <f>C3-(C3/(1+IVA))</f>
        <v>53833.333333333314</v>
      </c>
      <c r="E3" s="16" t="str">
        <f t="shared" ref="E3:E66" si="0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customHeight="1" x14ac:dyDescent="0.2">
      <c r="A4" s="4" t="s">
        <v>7</v>
      </c>
      <c r="B4" s="4" t="s">
        <v>8</v>
      </c>
      <c r="C4" s="5">
        <v>344000</v>
      </c>
      <c r="D4" s="18">
        <f>C4-(C4/(1+IVA))</f>
        <v>57333.333333333314</v>
      </c>
      <c r="E4" s="16" t="str">
        <f t="shared" si="0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customHeight="1" x14ac:dyDescent="0.2">
      <c r="A5" s="4" t="s">
        <v>9</v>
      </c>
      <c r="B5" s="4" t="s">
        <v>10</v>
      </c>
      <c r="C5" s="5">
        <v>361000</v>
      </c>
      <c r="D5" s="18">
        <f>C5-(C5/(1+IVA))</f>
        <v>60166.666666666628</v>
      </c>
      <c r="E5" s="16" t="str">
        <f t="shared" si="0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customHeight="1" x14ac:dyDescent="0.2">
      <c r="A6" s="4" t="s">
        <v>11</v>
      </c>
      <c r="B6" s="4" t="s">
        <v>12</v>
      </c>
      <c r="C6" s="5">
        <v>521000</v>
      </c>
      <c r="D6" s="18">
        <f>C6-(C6/(1+IVA))</f>
        <v>86833.333333333314</v>
      </c>
      <c r="E6" s="16" t="str">
        <f t="shared" si="0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customHeight="1" x14ac:dyDescent="0.2">
      <c r="A7" s="4" t="s">
        <v>13</v>
      </c>
      <c r="B7" s="4" t="s">
        <v>14</v>
      </c>
      <c r="C7" s="5">
        <v>527000</v>
      </c>
      <c r="D7" s="18">
        <f>C7-(C7/(1+IVA))</f>
        <v>87833.333333333314</v>
      </c>
      <c r="E7" s="16" t="str">
        <f t="shared" si="0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customHeight="1" x14ac:dyDescent="0.2">
      <c r="A8" s="4" t="s">
        <v>15</v>
      </c>
      <c r="B8" s="4" t="s">
        <v>16</v>
      </c>
      <c r="C8" s="5">
        <v>626000</v>
      </c>
      <c r="D8" s="18">
        <f>C8-(C8/(1+IVA))</f>
        <v>104333.33333333331</v>
      </c>
      <c r="E8" s="16" t="str">
        <f t="shared" si="0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customHeight="1" x14ac:dyDescent="0.2">
      <c r="A9" s="4" t="s">
        <v>17</v>
      </c>
      <c r="B9" s="4" t="s">
        <v>18</v>
      </c>
      <c r="C9" s="5">
        <v>656000</v>
      </c>
      <c r="D9" s="18">
        <f>C9-(C9/(1+IVA))</f>
        <v>109333.33333333326</v>
      </c>
      <c r="E9" s="16" t="str">
        <f t="shared" si="0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customHeight="1" x14ac:dyDescent="0.2">
      <c r="A10" s="4" t="s">
        <v>19</v>
      </c>
      <c r="B10" s="4" t="s">
        <v>20</v>
      </c>
      <c r="C10" s="5">
        <v>666000</v>
      </c>
      <c r="D10" s="18">
        <f>C10-(C10/(1+IVA))</f>
        <v>111000</v>
      </c>
      <c r="E10" s="16" t="str">
        <f t="shared" si="0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customHeight="1" x14ac:dyDescent="0.2">
      <c r="A11" s="4" t="s">
        <v>21</v>
      </c>
      <c r="B11" s="4" t="s">
        <v>22</v>
      </c>
      <c r="C11" s="5">
        <v>882000</v>
      </c>
      <c r="D11" s="18">
        <f>C11-(C11/(1+IVA))</f>
        <v>147000</v>
      </c>
      <c r="E11" s="16" t="str">
        <f t="shared" si="0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customHeight="1" x14ac:dyDescent="0.2">
      <c r="A12" s="4" t="s">
        <v>23</v>
      </c>
      <c r="B12" s="4" t="s">
        <v>24</v>
      </c>
      <c r="C12" s="5">
        <v>1108000</v>
      </c>
      <c r="D12" s="18">
        <f>C12-(C12/(1+IVA))</f>
        <v>184666.66666666663</v>
      </c>
      <c r="E12" s="16" t="str">
        <f t="shared" si="0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customHeight="1" x14ac:dyDescent="0.2">
      <c r="A13" s="4" t="s">
        <v>25</v>
      </c>
      <c r="B13" s="4" t="s">
        <v>26</v>
      </c>
      <c r="C13" s="5">
        <v>1316000</v>
      </c>
      <c r="D13" s="18">
        <f>C13-(C13/(1+IVA))</f>
        <v>219333.33333333326</v>
      </c>
      <c r="E13" s="16" t="str">
        <f t="shared" si="0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customHeight="1" x14ac:dyDescent="0.2">
      <c r="A14" s="4" t="s">
        <v>27</v>
      </c>
      <c r="B14" s="4" t="s">
        <v>28</v>
      </c>
      <c r="C14" s="5">
        <v>1594000</v>
      </c>
      <c r="D14" s="18">
        <f>C14-(C14/(1+IVA))</f>
        <v>265666.66666666651</v>
      </c>
      <c r="E14" s="16" t="str">
        <f t="shared" si="0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customHeight="1" x14ac:dyDescent="0.2">
      <c r="A15" s="4" t="s">
        <v>29</v>
      </c>
      <c r="B15" s="4" t="s">
        <v>30</v>
      </c>
      <c r="C15" s="5">
        <v>2719000</v>
      </c>
      <c r="D15" s="18">
        <f>C15-(C15/(1+IVA))</f>
        <v>453166.66666666651</v>
      </c>
      <c r="E15" s="16" t="str">
        <f t="shared" si="0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customHeight="1" x14ac:dyDescent="0.2">
      <c r="A16" s="4" t="s">
        <v>31</v>
      </c>
      <c r="B16" s="4"/>
      <c r="C16" s="5"/>
      <c r="D16" s="18">
        <f>C16-(C16/(1+IVA))</f>
        <v>0</v>
      </c>
      <c r="E16" s="16" t="str">
        <f t="shared" si="0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customHeight="1" x14ac:dyDescent="0.2">
      <c r="A17" s="4" t="s">
        <v>32</v>
      </c>
      <c r="B17" s="4" t="s">
        <v>33</v>
      </c>
      <c r="C17" s="5">
        <v>4092000</v>
      </c>
      <c r="D17" s="18">
        <f>C17-(C17/(1+IVA))</f>
        <v>682000</v>
      </c>
      <c r="E17" s="16" t="str">
        <f t="shared" si="0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customHeight="1" x14ac:dyDescent="0.2">
      <c r="A18" s="4" t="s">
        <v>34</v>
      </c>
      <c r="B18" s="4" t="s">
        <v>35</v>
      </c>
      <c r="C18" s="5">
        <v>13859000</v>
      </c>
      <c r="D18" s="18">
        <f>C18-(C18/(1+IVA))</f>
        <v>2309833.3333333321</v>
      </c>
      <c r="E18" s="16" t="str">
        <f t="shared" si="0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customHeight="1" x14ac:dyDescent="0.2">
      <c r="A19" s="4" t="s">
        <v>36</v>
      </c>
      <c r="B19" s="4"/>
      <c r="C19" s="5"/>
      <c r="D19" s="18">
        <f>C19-(C19/(1+IVA))</f>
        <v>0</v>
      </c>
      <c r="E19" s="16" t="str">
        <f t="shared" si="0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customHeight="1" x14ac:dyDescent="0.2">
      <c r="A20" s="4" t="s">
        <v>37</v>
      </c>
      <c r="B20" s="4" t="s">
        <v>38</v>
      </c>
      <c r="C20" s="5">
        <v>167000</v>
      </c>
      <c r="D20" s="18">
        <f>C20-(C20/(1+IVA))</f>
        <v>27833.333333333314</v>
      </c>
      <c r="E20" s="16" t="str">
        <f t="shared" si="0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customHeight="1" x14ac:dyDescent="0.2">
      <c r="A21" s="4" t="s">
        <v>39</v>
      </c>
      <c r="B21" s="4" t="s">
        <v>40</v>
      </c>
      <c r="C21" s="5">
        <v>202000</v>
      </c>
      <c r="D21" s="18">
        <f>C21-(C21/(1+IVA))</f>
        <v>33666.666666666657</v>
      </c>
      <c r="E21" s="16" t="str">
        <f t="shared" si="0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customHeight="1" x14ac:dyDescent="0.2">
      <c r="A22" s="4" t="s">
        <v>41</v>
      </c>
      <c r="B22" s="4" t="s">
        <v>42</v>
      </c>
      <c r="C22" s="5">
        <v>203000</v>
      </c>
      <c r="D22" s="18">
        <f>C22-(C22/(1+IVA))</f>
        <v>33833.333333333314</v>
      </c>
      <c r="E22" s="16" t="str">
        <f t="shared" si="0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customHeight="1" x14ac:dyDescent="0.2">
      <c r="A23" s="4" t="s">
        <v>43</v>
      </c>
      <c r="B23" s="4" t="s">
        <v>40</v>
      </c>
      <c r="C23" s="5">
        <v>234000</v>
      </c>
      <c r="D23" s="18">
        <f>C23-(C23/(1+IVA))</f>
        <v>39000</v>
      </c>
      <c r="E23" s="16" t="str">
        <f t="shared" si="0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customHeight="1" x14ac:dyDescent="0.2">
      <c r="A24" s="4" t="s">
        <v>44</v>
      </c>
      <c r="B24" s="4" t="s">
        <v>45</v>
      </c>
      <c r="C24" s="5">
        <v>252000</v>
      </c>
      <c r="D24" s="18">
        <f>C24-(C24/(1+IVA))</f>
        <v>42000</v>
      </c>
      <c r="E24" s="16" t="str">
        <f t="shared" si="0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customHeight="1" x14ac:dyDescent="0.2">
      <c r="A25" s="4" t="s">
        <v>46</v>
      </c>
      <c r="B25" s="4" t="s">
        <v>40</v>
      </c>
      <c r="C25" s="5">
        <v>259000</v>
      </c>
      <c r="D25" s="18">
        <f>C25-(C25/(1+IVA))</f>
        <v>43166.666666666657</v>
      </c>
      <c r="E25" s="16" t="str">
        <f t="shared" si="0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customHeight="1" x14ac:dyDescent="0.2">
      <c r="A26" s="4" t="s">
        <v>47</v>
      </c>
      <c r="B26" s="4" t="s">
        <v>48</v>
      </c>
      <c r="C26" s="5">
        <v>269000</v>
      </c>
      <c r="D26" s="18">
        <f>C26-(C26/(1+IVA))</f>
        <v>44833.333333333314</v>
      </c>
      <c r="E26" s="16" t="str">
        <f t="shared" si="0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customHeight="1" x14ac:dyDescent="0.2">
      <c r="A27" s="4" t="s">
        <v>49</v>
      </c>
      <c r="B27" s="4" t="s">
        <v>50</v>
      </c>
      <c r="C27" s="5">
        <v>271000</v>
      </c>
      <c r="D27" s="18">
        <f>C27-(C27/(1+IVA))</f>
        <v>45166.666666666657</v>
      </c>
      <c r="E27" s="16" t="str">
        <f t="shared" si="0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customHeight="1" x14ac:dyDescent="0.2">
      <c r="A28" s="4" t="s">
        <v>51</v>
      </c>
      <c r="B28" s="4" t="s">
        <v>52</v>
      </c>
      <c r="C28" s="5">
        <v>292000</v>
      </c>
      <c r="D28" s="18">
        <f>C28-(C28/(1+IVA))</f>
        <v>48666.666666666657</v>
      </c>
      <c r="E28" s="16" t="str">
        <f t="shared" si="0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customHeight="1" x14ac:dyDescent="0.2">
      <c r="A29" s="4" t="s">
        <v>53</v>
      </c>
      <c r="B29" s="4" t="s">
        <v>54</v>
      </c>
      <c r="C29" s="5">
        <v>293000</v>
      </c>
      <c r="D29" s="18">
        <f>C29-(C29/(1+IVA))</f>
        <v>48833.333333333314</v>
      </c>
      <c r="E29" s="16" t="str">
        <f t="shared" si="0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customHeight="1" x14ac:dyDescent="0.2">
      <c r="A30" s="4" t="s">
        <v>55</v>
      </c>
      <c r="B30" s="4" t="s">
        <v>40</v>
      </c>
      <c r="C30" s="5">
        <v>307000</v>
      </c>
      <c r="D30" s="18">
        <f>C30-(C30/(1+IVA))</f>
        <v>51166.666666666657</v>
      </c>
      <c r="E30" s="16" t="str">
        <f t="shared" si="0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customHeight="1" x14ac:dyDescent="0.2">
      <c r="A31" s="4" t="s">
        <v>56</v>
      </c>
      <c r="B31" s="4" t="s">
        <v>57</v>
      </c>
      <c r="C31" s="5">
        <v>440000</v>
      </c>
      <c r="D31" s="18">
        <f>C31-(C31/(1+IVA))</f>
        <v>73333.333333333314</v>
      </c>
      <c r="E31" s="16" t="str">
        <f t="shared" si="0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customHeight="1" x14ac:dyDescent="0.2">
      <c r="A32" s="4" t="s">
        <v>58</v>
      </c>
      <c r="B32" s="4" t="s">
        <v>59</v>
      </c>
      <c r="C32" s="5">
        <v>487000</v>
      </c>
      <c r="D32" s="18">
        <f>C32-(C32/(1+IVA))</f>
        <v>81166.666666666628</v>
      </c>
      <c r="E32" s="16" t="str">
        <f t="shared" si="0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customHeight="1" x14ac:dyDescent="0.2">
      <c r="A33" s="4" t="s">
        <v>60</v>
      </c>
      <c r="B33" s="4" t="s">
        <v>61</v>
      </c>
      <c r="C33" s="5">
        <v>566000</v>
      </c>
      <c r="D33" s="18">
        <f>C33-(C33/(1+IVA))</f>
        <v>94333.333333333314</v>
      </c>
      <c r="E33" s="16" t="str">
        <f t="shared" si="0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customHeight="1" x14ac:dyDescent="0.2">
      <c r="A34" s="4" t="s">
        <v>62</v>
      </c>
      <c r="B34" s="4" t="s">
        <v>59</v>
      </c>
      <c r="C34" s="5">
        <v>802000</v>
      </c>
      <c r="D34" s="18">
        <f>C34-(C34/(1+IVA))</f>
        <v>133666.66666666663</v>
      </c>
      <c r="E34" s="16" t="str">
        <f t="shared" si="0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customHeight="1" x14ac:dyDescent="0.2">
      <c r="A35" s="4" t="s">
        <v>63</v>
      </c>
      <c r="B35" s="4" t="s">
        <v>64</v>
      </c>
      <c r="C35" s="5">
        <v>1579000</v>
      </c>
      <c r="D35" s="18">
        <f>C35-(C35/(1+IVA))</f>
        <v>263166.66666666651</v>
      </c>
      <c r="E35" s="16" t="str">
        <f t="shared" si="0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customHeight="1" x14ac:dyDescent="0.2">
      <c r="A36" s="4" t="s">
        <v>65</v>
      </c>
      <c r="B36" s="4"/>
      <c r="C36" s="5"/>
      <c r="D36" s="18">
        <f>C36-(C36/(1+IVA))</f>
        <v>0</v>
      </c>
      <c r="E36" s="16" t="str">
        <f t="shared" si="0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customHeight="1" x14ac:dyDescent="0.2">
      <c r="A37" s="4" t="s">
        <v>66</v>
      </c>
      <c r="B37" s="4" t="s">
        <v>67</v>
      </c>
      <c r="C37" s="5">
        <v>70000</v>
      </c>
      <c r="D37" s="18">
        <f>C37-(C37/(1+IVA))</f>
        <v>11666.666666666664</v>
      </c>
      <c r="E37" s="16" t="str">
        <f t="shared" si="0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customHeight="1" x14ac:dyDescent="0.2">
      <c r="A38" s="4" t="s">
        <v>68</v>
      </c>
      <c r="B38" s="4" t="s">
        <v>69</v>
      </c>
      <c r="C38" s="5">
        <v>104000</v>
      </c>
      <c r="D38" s="18">
        <f>C38-(C38/(1+IVA))</f>
        <v>17333.333333333328</v>
      </c>
      <c r="E38" s="16" t="str">
        <f t="shared" si="0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customHeight="1" x14ac:dyDescent="0.2">
      <c r="A39" s="4" t="s">
        <v>70</v>
      </c>
      <c r="B39" s="4" t="s">
        <v>71</v>
      </c>
      <c r="C39" s="5">
        <v>127000</v>
      </c>
      <c r="D39" s="18">
        <f>C39-(C39/(1+IVA))</f>
        <v>21166.666666666657</v>
      </c>
      <c r="E39" s="16" t="str">
        <f t="shared" si="0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2.75" customHeight="1" x14ac:dyDescent="0.2">
      <c r="A40" s="4" t="s">
        <v>72</v>
      </c>
      <c r="B40" s="4" t="s">
        <v>73</v>
      </c>
      <c r="C40" s="5">
        <v>162000</v>
      </c>
      <c r="D40" s="18">
        <f>C40-(C40/(1+IVA))</f>
        <v>27000</v>
      </c>
      <c r="E40" s="16" t="str">
        <f t="shared" si="0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2.75" customHeight="1" x14ac:dyDescent="0.2">
      <c r="A41" s="4" t="s">
        <v>74</v>
      </c>
      <c r="B41" s="4" t="s">
        <v>75</v>
      </c>
      <c r="C41" s="5">
        <v>179000</v>
      </c>
      <c r="D41" s="18">
        <f>C41-(C41/(1+IVA))</f>
        <v>29833.333333333314</v>
      </c>
      <c r="E41" s="16" t="str">
        <f t="shared" si="0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2.75" customHeight="1" x14ac:dyDescent="0.2">
      <c r="A42" s="4" t="s">
        <v>76</v>
      </c>
      <c r="B42" s="4" t="s">
        <v>77</v>
      </c>
      <c r="C42" s="5">
        <v>186000</v>
      </c>
      <c r="D42" s="18">
        <f>C42-(C42/(1+IVA))</f>
        <v>31000</v>
      </c>
      <c r="E42" s="16" t="str">
        <f t="shared" si="0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2.75" customHeight="1" x14ac:dyDescent="0.2">
      <c r="A43" s="4" t="s">
        <v>78</v>
      </c>
      <c r="B43" s="4" t="s">
        <v>77</v>
      </c>
      <c r="C43" s="5">
        <v>186000</v>
      </c>
      <c r="D43" s="18">
        <f>C43-(C43/(1+IVA))</f>
        <v>31000</v>
      </c>
      <c r="E43" s="16" t="str">
        <f t="shared" si="0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2.75" customHeight="1" x14ac:dyDescent="0.2">
      <c r="A44" s="4" t="s">
        <v>79</v>
      </c>
      <c r="B44" s="4" t="s">
        <v>80</v>
      </c>
      <c r="C44" s="5">
        <v>203000</v>
      </c>
      <c r="D44" s="18">
        <f>C44-(C44/(1+IVA))</f>
        <v>33833.333333333314</v>
      </c>
      <c r="E44" s="16" t="str">
        <f t="shared" si="0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2.75" customHeight="1" x14ac:dyDescent="0.2">
      <c r="A45" s="4" t="s">
        <v>81</v>
      </c>
      <c r="B45" s="4" t="s">
        <v>75</v>
      </c>
      <c r="C45" s="5">
        <v>212000</v>
      </c>
      <c r="D45" s="18">
        <f>C45-(C45/(1+IVA))</f>
        <v>35333.333333333314</v>
      </c>
      <c r="E45" s="16" t="str">
        <f t="shared" si="0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2.75" customHeight="1" x14ac:dyDescent="0.2">
      <c r="A46" s="4" t="s">
        <v>82</v>
      </c>
      <c r="B46" s="4" t="s">
        <v>83</v>
      </c>
      <c r="C46" s="5">
        <v>222000</v>
      </c>
      <c r="D46" s="18">
        <f>C46-(C46/(1+IVA))</f>
        <v>37000</v>
      </c>
      <c r="E46" s="16" t="str">
        <f t="shared" si="0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2.75" customHeight="1" x14ac:dyDescent="0.2">
      <c r="A47" s="4" t="s">
        <v>84</v>
      </c>
      <c r="B47" s="4" t="s">
        <v>85</v>
      </c>
      <c r="C47" s="5">
        <v>245000</v>
      </c>
      <c r="D47" s="18">
        <f>C47-(C47/(1+IVA))</f>
        <v>40833.333333333314</v>
      </c>
      <c r="E47" s="16" t="str">
        <f t="shared" si="0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2.75" customHeight="1" x14ac:dyDescent="0.2">
      <c r="A48" s="4" t="s">
        <v>86</v>
      </c>
      <c r="B48" s="4" t="s">
        <v>87</v>
      </c>
      <c r="C48" s="5">
        <v>251000</v>
      </c>
      <c r="D48" s="18">
        <f>C48-(C48/(1+IVA))</f>
        <v>41833.333333333314</v>
      </c>
      <c r="E48" s="16" t="str">
        <f t="shared" si="0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2.75" customHeight="1" x14ac:dyDescent="0.2">
      <c r="A49" s="4" t="s">
        <v>88</v>
      </c>
      <c r="B49" s="4" t="s">
        <v>89</v>
      </c>
      <c r="C49" s="5">
        <v>257000</v>
      </c>
      <c r="D49" s="18">
        <f>C49-(C49/(1+IVA))</f>
        <v>42833.333333333314</v>
      </c>
      <c r="E49" s="16" t="str">
        <f t="shared" si="0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2.75" customHeight="1" x14ac:dyDescent="0.2">
      <c r="A50" s="4" t="s">
        <v>90</v>
      </c>
      <c r="B50" s="4" t="s">
        <v>89</v>
      </c>
      <c r="C50" s="5">
        <v>269000</v>
      </c>
      <c r="D50" s="18">
        <f>C50-(C50/(1+IVA))</f>
        <v>44833.333333333314</v>
      </c>
      <c r="E50" s="16" t="str">
        <f t="shared" si="0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2.75" customHeight="1" x14ac:dyDescent="0.2">
      <c r="A51" s="4" t="s">
        <v>91</v>
      </c>
      <c r="B51" s="4" t="s">
        <v>92</v>
      </c>
      <c r="C51" s="5">
        <v>314000</v>
      </c>
      <c r="D51" s="18">
        <f>C51-(C51/(1+IVA))</f>
        <v>52333.333333333314</v>
      </c>
      <c r="E51" s="16" t="str">
        <f t="shared" si="0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2.75" customHeight="1" x14ac:dyDescent="0.2">
      <c r="A52" s="4" t="s">
        <v>93</v>
      </c>
      <c r="B52" s="4" t="s">
        <v>94</v>
      </c>
      <c r="C52" s="5">
        <v>325000</v>
      </c>
      <c r="D52" s="18">
        <f>C52-(C52/(1+IVA))</f>
        <v>54166.666666666628</v>
      </c>
      <c r="E52" s="16" t="str">
        <f t="shared" si="0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2.75" customHeight="1" x14ac:dyDescent="0.2">
      <c r="A53" s="4" t="s">
        <v>95</v>
      </c>
      <c r="B53" s="4" t="s">
        <v>96</v>
      </c>
      <c r="C53" s="5">
        <v>347000</v>
      </c>
      <c r="D53" s="18">
        <f>C53-(C53/(1+IVA))</f>
        <v>57833.333333333314</v>
      </c>
      <c r="E53" s="16" t="str">
        <f t="shared" si="0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2.75" customHeight="1" x14ac:dyDescent="0.2">
      <c r="A54" s="4" t="s">
        <v>97</v>
      </c>
      <c r="B54" s="4" t="s">
        <v>92</v>
      </c>
      <c r="C54" s="5">
        <v>369000</v>
      </c>
      <c r="D54" s="18">
        <f>C54-(C54/(1+IVA))</f>
        <v>61500</v>
      </c>
      <c r="E54" s="16" t="str">
        <f t="shared" si="0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2.75" customHeight="1" x14ac:dyDescent="0.2">
      <c r="A55" s="4" t="s">
        <v>98</v>
      </c>
      <c r="B55" s="4" t="s">
        <v>99</v>
      </c>
      <c r="C55" s="5">
        <v>402000</v>
      </c>
      <c r="D55" s="18">
        <f>C55-(C55/(1+IVA))</f>
        <v>67000</v>
      </c>
      <c r="E55" s="16" t="str">
        <f t="shared" si="0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2.75" customHeight="1" x14ac:dyDescent="0.2">
      <c r="A56" s="4" t="s">
        <v>100</v>
      </c>
      <c r="B56" s="4" t="s">
        <v>92</v>
      </c>
      <c r="C56" s="5">
        <v>471000</v>
      </c>
      <c r="D56" s="18">
        <f>C56-(C56/(1+IVA))</f>
        <v>78500</v>
      </c>
      <c r="E56" s="16" t="str">
        <f t="shared" si="0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2.75" customHeight="1" x14ac:dyDescent="0.2">
      <c r="A57" s="4" t="s">
        <v>101</v>
      </c>
      <c r="B57" s="4" t="s">
        <v>94</v>
      </c>
      <c r="C57" s="5">
        <v>476000</v>
      </c>
      <c r="D57" s="18">
        <f>C57-(C57/(1+IVA))</f>
        <v>79333.333333333314</v>
      </c>
      <c r="E57" s="16" t="str">
        <f t="shared" si="0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2.75" customHeight="1" x14ac:dyDescent="0.2">
      <c r="A58" s="4" t="s">
        <v>102</v>
      </c>
      <c r="B58" s="4" t="s">
        <v>99</v>
      </c>
      <c r="C58" s="5">
        <v>492000</v>
      </c>
      <c r="D58" s="18">
        <f>C58-(C58/(1+IVA))</f>
        <v>82000</v>
      </c>
      <c r="E58" s="16" t="str">
        <f t="shared" si="0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2.75" customHeight="1" x14ac:dyDescent="0.2">
      <c r="A59" s="4" t="s">
        <v>103</v>
      </c>
      <c r="B59" s="4" t="s">
        <v>104</v>
      </c>
      <c r="C59" s="5">
        <v>531000</v>
      </c>
      <c r="D59" s="18">
        <f>C59-(C59/(1+IVA))</f>
        <v>88500</v>
      </c>
      <c r="E59" s="16" t="str">
        <f t="shared" si="0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2.75" customHeight="1" x14ac:dyDescent="0.2">
      <c r="A60" s="4" t="s">
        <v>105</v>
      </c>
      <c r="B60" s="4" t="s">
        <v>92</v>
      </c>
      <c r="C60" s="5">
        <v>552000</v>
      </c>
      <c r="D60" s="18">
        <f>C60-(C60/(1+IVA))</f>
        <v>92000</v>
      </c>
      <c r="E60" s="16" t="str">
        <f t="shared" si="0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2.75" customHeight="1" x14ac:dyDescent="0.2">
      <c r="A61" s="4" t="s">
        <v>106</v>
      </c>
      <c r="B61" s="4" t="s">
        <v>107</v>
      </c>
      <c r="C61" s="5">
        <v>1487000</v>
      </c>
      <c r="D61" s="18">
        <f>C61-(C61/(1+IVA))</f>
        <v>247833.33333333326</v>
      </c>
      <c r="E61" s="16" t="str">
        <f t="shared" si="0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2.75" customHeight="1" x14ac:dyDescent="0.2">
      <c r="A62" s="4" t="s">
        <v>108</v>
      </c>
      <c r="B62" s="4"/>
      <c r="C62" s="5"/>
      <c r="D62" s="18">
        <f>C62-(C62/(1+IVA))</f>
        <v>0</v>
      </c>
      <c r="E62" s="16" t="str">
        <f t="shared" si="0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2.75" customHeight="1" x14ac:dyDescent="0.2">
      <c r="A63" s="4" t="s">
        <v>109</v>
      </c>
      <c r="B63" s="4" t="s">
        <v>110</v>
      </c>
      <c r="C63" s="5">
        <v>101000</v>
      </c>
      <c r="D63" s="18">
        <f>C63-(C63/(1+IVA))</f>
        <v>16833.333333333328</v>
      </c>
      <c r="E63" s="16" t="str">
        <f t="shared" si="0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2.75" customHeight="1" x14ac:dyDescent="0.2">
      <c r="A64" s="4" t="s">
        <v>111</v>
      </c>
      <c r="B64" s="4" t="s">
        <v>112</v>
      </c>
      <c r="C64" s="5">
        <v>38000</v>
      </c>
      <c r="D64" s="18">
        <f>C64-(C64/(1+IVA))</f>
        <v>6333.3333333333321</v>
      </c>
      <c r="E64" s="16" t="str">
        <f t="shared" si="0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2.75" customHeight="1" x14ac:dyDescent="0.2">
      <c r="A65" s="4" t="s">
        <v>113</v>
      </c>
      <c r="B65" s="4" t="s">
        <v>114</v>
      </c>
      <c r="C65" s="5">
        <v>137000</v>
      </c>
      <c r="D65" s="18">
        <f>C65-(C65/(1+IVA))</f>
        <v>22833.333333333328</v>
      </c>
      <c r="E65" s="16" t="str">
        <f t="shared" si="0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2.75" customHeight="1" x14ac:dyDescent="0.2">
      <c r="A66" s="4" t="s">
        <v>115</v>
      </c>
      <c r="B66" s="4" t="s">
        <v>116</v>
      </c>
      <c r="C66" s="5">
        <v>222000</v>
      </c>
      <c r="D66" s="18">
        <f>C66-(C66/(1+IVA))</f>
        <v>37000</v>
      </c>
      <c r="E66" s="16" t="str">
        <f t="shared" si="0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2.75" customHeight="1" x14ac:dyDescent="0.2">
      <c r="A67" s="4" t="s">
        <v>117</v>
      </c>
      <c r="B67" s="4" t="s">
        <v>118</v>
      </c>
      <c r="C67" s="5">
        <v>501000</v>
      </c>
      <c r="D67" s="18">
        <f>C67-(C67/(1+IVA))</f>
        <v>83500</v>
      </c>
      <c r="E67" s="16" t="str">
        <f t="shared" ref="E67:E130" si="1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2.75" customHeight="1" x14ac:dyDescent="0.2">
      <c r="A68" s="4" t="s">
        <v>119</v>
      </c>
      <c r="B68" s="4" t="s">
        <v>120</v>
      </c>
      <c r="C68" s="5">
        <v>428000</v>
      </c>
      <c r="D68" s="18">
        <f>C68-(C68/(1+IVA))</f>
        <v>71333.333333333314</v>
      </c>
      <c r="E68" s="16" t="str">
        <f t="shared" si="1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2.75" customHeight="1" x14ac:dyDescent="0.2">
      <c r="A69" s="4" t="s">
        <v>121</v>
      </c>
      <c r="B69" s="4" t="s">
        <v>122</v>
      </c>
      <c r="C69" s="5">
        <v>561000</v>
      </c>
      <c r="D69" s="18">
        <f>C69-(C69/(1+IVA))</f>
        <v>93500</v>
      </c>
      <c r="E69" s="16" t="str">
        <f t="shared" si="1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2.75" customHeight="1" x14ac:dyDescent="0.2">
      <c r="A70" s="4" t="s">
        <v>123</v>
      </c>
      <c r="B70" s="4" t="s">
        <v>124</v>
      </c>
      <c r="C70" s="5">
        <v>1578000</v>
      </c>
      <c r="D70" s="18">
        <f>C70-(C70/(1+IVA))</f>
        <v>263000</v>
      </c>
      <c r="E70" s="16" t="str">
        <f t="shared" si="1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2.75" customHeight="1" x14ac:dyDescent="0.2">
      <c r="A71" s="4" t="s">
        <v>125</v>
      </c>
      <c r="B71" s="4" t="s">
        <v>126</v>
      </c>
      <c r="C71" s="5">
        <v>34000</v>
      </c>
      <c r="D71" s="18">
        <f>C71-(C71/(1+IVA))</f>
        <v>5666.6666666666642</v>
      </c>
      <c r="E71" s="16" t="str">
        <f t="shared" si="1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2.75" customHeight="1" x14ac:dyDescent="0.2">
      <c r="A72" s="4" t="s">
        <v>127</v>
      </c>
      <c r="B72" s="4" t="s">
        <v>128</v>
      </c>
      <c r="C72" s="5">
        <v>20000</v>
      </c>
      <c r="D72" s="18">
        <f>C72-(C72/(1+IVA))</f>
        <v>3333.3333333333321</v>
      </c>
      <c r="E72" s="16" t="str">
        <f t="shared" si="1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2.75" customHeight="1" x14ac:dyDescent="0.2">
      <c r="A73" s="4" t="s">
        <v>129</v>
      </c>
      <c r="B73" s="4" t="s">
        <v>128</v>
      </c>
      <c r="C73" s="5">
        <v>23000</v>
      </c>
      <c r="D73" s="18">
        <f>C73-(C73/(1+IVA))</f>
        <v>3833.3333333333321</v>
      </c>
      <c r="E73" s="16" t="str">
        <f t="shared" si="1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2.75" customHeight="1" x14ac:dyDescent="0.2">
      <c r="A74" s="4" t="s">
        <v>130</v>
      </c>
      <c r="B74" s="4"/>
      <c r="C74" s="5">
        <v>98000</v>
      </c>
      <c r="D74" s="18">
        <f>C74-(C74/(1+IVA))</f>
        <v>16333.333333333328</v>
      </c>
      <c r="E74" s="16" t="str">
        <f t="shared" si="1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2.75" customHeight="1" x14ac:dyDescent="0.2">
      <c r="A75" s="4" t="s">
        <v>131</v>
      </c>
      <c r="B75" s="4"/>
      <c r="C75" s="5">
        <v>251000</v>
      </c>
      <c r="D75" s="18">
        <f>C75-(C75/(1+IVA))</f>
        <v>41833.333333333314</v>
      </c>
      <c r="E75" s="16" t="str">
        <f t="shared" si="1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2.75" customHeight="1" x14ac:dyDescent="0.2">
      <c r="A76" s="4" t="s">
        <v>132</v>
      </c>
      <c r="B76" s="4"/>
      <c r="C76" s="5">
        <v>15000</v>
      </c>
      <c r="D76" s="18">
        <f>C76-(C76/(1+IVA))</f>
        <v>2500</v>
      </c>
      <c r="E76" s="16" t="str">
        <f t="shared" si="1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2.75" customHeight="1" x14ac:dyDescent="0.2">
      <c r="A77" s="4" t="s">
        <v>133</v>
      </c>
      <c r="B77" s="4"/>
      <c r="C77" s="5">
        <v>14000</v>
      </c>
      <c r="D77" s="18">
        <f>C77-(C77/(1+IVA))</f>
        <v>2333.3333333333321</v>
      </c>
      <c r="E77" s="16" t="str">
        <f t="shared" si="1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2.75" customHeight="1" x14ac:dyDescent="0.2">
      <c r="A78" s="4" t="s">
        <v>134</v>
      </c>
      <c r="B78" s="4"/>
      <c r="C78" s="5"/>
      <c r="D78" s="18">
        <f>C78-(C78/(1+IVA))</f>
        <v>0</v>
      </c>
      <c r="E78" s="16" t="str">
        <f t="shared" si="1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2.75" customHeight="1" x14ac:dyDescent="0.2">
      <c r="A79" s="4" t="s">
        <v>135</v>
      </c>
      <c r="B79" s="4" t="s">
        <v>136</v>
      </c>
      <c r="C79" s="5">
        <v>399000</v>
      </c>
      <c r="D79" s="18">
        <f>C79-(C79/(1+IVA))</f>
        <v>66500</v>
      </c>
      <c r="E79" s="16" t="str">
        <f t="shared" si="1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2.75" customHeight="1" x14ac:dyDescent="0.2">
      <c r="A80" s="4" t="s">
        <v>137</v>
      </c>
      <c r="B80" s="4" t="s">
        <v>138</v>
      </c>
      <c r="C80" s="5">
        <v>259000</v>
      </c>
      <c r="D80" s="18">
        <f>C80-(C80/(1+IVA))</f>
        <v>43166.666666666657</v>
      </c>
      <c r="E80" s="16" t="str">
        <f t="shared" si="1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2.75" customHeight="1" x14ac:dyDescent="0.2">
      <c r="A81" s="4" t="s">
        <v>139</v>
      </c>
      <c r="B81" s="4" t="s">
        <v>138</v>
      </c>
      <c r="C81" s="5">
        <v>324000</v>
      </c>
      <c r="D81" s="18">
        <f>C81-(C81/(1+IVA))</f>
        <v>54000</v>
      </c>
      <c r="E81" s="16" t="str">
        <f t="shared" si="1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2.75" customHeight="1" x14ac:dyDescent="0.2">
      <c r="A82" s="4" t="s">
        <v>140</v>
      </c>
      <c r="B82" s="4" t="s">
        <v>138</v>
      </c>
      <c r="C82" s="5">
        <v>378000</v>
      </c>
      <c r="D82" s="18">
        <f>C82-(C82/(1+IVA))</f>
        <v>63000</v>
      </c>
      <c r="E82" s="16" t="str">
        <f t="shared" si="1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2.75" customHeight="1" x14ac:dyDescent="0.2">
      <c r="A83" s="4" t="s">
        <v>141</v>
      </c>
      <c r="B83" s="4" t="s">
        <v>138</v>
      </c>
      <c r="C83" s="5">
        <v>469000</v>
      </c>
      <c r="D83" s="18">
        <f>C83-(C83/(1+IVA))</f>
        <v>78166.666666666628</v>
      </c>
      <c r="E83" s="16" t="str">
        <f t="shared" si="1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2.75" customHeight="1" x14ac:dyDescent="0.2">
      <c r="A84" s="4" t="s">
        <v>142</v>
      </c>
      <c r="B84" s="4" t="s">
        <v>138</v>
      </c>
      <c r="C84" s="5">
        <v>556000</v>
      </c>
      <c r="D84" s="18">
        <f>C84-(C84/(1+IVA))</f>
        <v>92666.666666666628</v>
      </c>
      <c r="E84" s="16" t="str">
        <f t="shared" si="1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2.75" customHeight="1" x14ac:dyDescent="0.2">
      <c r="A85" s="4" t="s">
        <v>143</v>
      </c>
      <c r="B85" s="4" t="s">
        <v>144</v>
      </c>
      <c r="C85" s="5">
        <v>476000</v>
      </c>
      <c r="D85" s="18">
        <f>C85-(C85/(1+IVA))</f>
        <v>79333.333333333314</v>
      </c>
      <c r="E85" s="16" t="str">
        <f t="shared" si="1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2.75" customHeight="1" x14ac:dyDescent="0.2">
      <c r="A86" s="4" t="s">
        <v>145</v>
      </c>
      <c r="B86" s="4" t="s">
        <v>144</v>
      </c>
      <c r="C86" s="5">
        <v>477000</v>
      </c>
      <c r="D86" s="18">
        <f>C86-(C86/(1+IVA))</f>
        <v>79500</v>
      </c>
      <c r="E86" s="16" t="str">
        <f t="shared" si="1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2.75" customHeight="1" x14ac:dyDescent="0.2">
      <c r="A87" s="4" t="s">
        <v>146</v>
      </c>
      <c r="B87" s="4" t="s">
        <v>144</v>
      </c>
      <c r="C87" s="5">
        <v>556000</v>
      </c>
      <c r="D87" s="18">
        <f>C87-(C87/(1+IVA))</f>
        <v>92666.666666666628</v>
      </c>
      <c r="E87" s="16" t="str">
        <f t="shared" si="1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2.75" customHeight="1" x14ac:dyDescent="0.2">
      <c r="A88" s="4" t="s">
        <v>147</v>
      </c>
      <c r="B88" s="4" t="s">
        <v>148</v>
      </c>
      <c r="C88" s="5">
        <v>695000</v>
      </c>
      <c r="D88" s="18">
        <f>C88-(C88/(1+IVA))</f>
        <v>115833.33333333326</v>
      </c>
      <c r="E88" s="16" t="str">
        <f t="shared" si="1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2.75" customHeight="1" x14ac:dyDescent="0.2">
      <c r="A89" s="4" t="s">
        <v>149</v>
      </c>
      <c r="B89" s="4" t="s">
        <v>150</v>
      </c>
      <c r="C89" s="5">
        <v>1279000</v>
      </c>
      <c r="D89" s="18">
        <f>C89-(C89/(1+IVA))</f>
        <v>213166.66666666651</v>
      </c>
      <c r="E89" s="16" t="str">
        <f t="shared" si="1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2.75" customHeight="1" x14ac:dyDescent="0.2">
      <c r="A90" s="4" t="s">
        <v>151</v>
      </c>
      <c r="B90" s="4" t="s">
        <v>152</v>
      </c>
      <c r="C90" s="5">
        <v>35000</v>
      </c>
      <c r="D90" s="18">
        <f>C90-(C90/(1+IVA))</f>
        <v>5833.3333333333321</v>
      </c>
      <c r="E90" s="16" t="str">
        <f t="shared" si="1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2.75" customHeight="1" x14ac:dyDescent="0.2">
      <c r="A91" s="4" t="s">
        <v>153</v>
      </c>
      <c r="B91" s="4" t="s">
        <v>154</v>
      </c>
      <c r="C91" s="5">
        <v>175000</v>
      </c>
      <c r="D91" s="18">
        <f>C91-(C91/(1+IVA))</f>
        <v>29166.666666666657</v>
      </c>
      <c r="E91" s="16" t="str">
        <f t="shared" si="1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2.75" customHeight="1" x14ac:dyDescent="0.2">
      <c r="A92" s="4" t="s">
        <v>155</v>
      </c>
      <c r="B92" s="4" t="s">
        <v>156</v>
      </c>
      <c r="C92" s="5">
        <v>272000</v>
      </c>
      <c r="D92" s="18">
        <f>C92-(C92/(1+IVA))</f>
        <v>45333.333333333314</v>
      </c>
      <c r="E92" s="16" t="str">
        <f t="shared" si="1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2.75" customHeight="1" x14ac:dyDescent="0.2">
      <c r="A93" s="4" t="s">
        <v>157</v>
      </c>
      <c r="B93" s="4" t="s">
        <v>156</v>
      </c>
      <c r="C93" s="5">
        <v>198000</v>
      </c>
      <c r="D93" s="18">
        <f>C93-(C93/(1+IVA))</f>
        <v>33000</v>
      </c>
      <c r="E93" s="16" t="str">
        <f t="shared" si="1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2.75" customHeight="1" x14ac:dyDescent="0.2">
      <c r="A94" s="4" t="s">
        <v>158</v>
      </c>
      <c r="B94" s="4" t="s">
        <v>156</v>
      </c>
      <c r="C94" s="5">
        <v>290000</v>
      </c>
      <c r="D94" s="18">
        <f>C94-(C94/(1+IVA))</f>
        <v>48333.333333333314</v>
      </c>
      <c r="E94" s="16" t="str">
        <f t="shared" si="1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2.75" customHeight="1" x14ac:dyDescent="0.2">
      <c r="A95" s="4" t="s">
        <v>159</v>
      </c>
      <c r="B95" s="4" t="s">
        <v>156</v>
      </c>
      <c r="C95" s="5">
        <v>589000</v>
      </c>
      <c r="D95" s="18">
        <f>C95-(C95/(1+IVA))</f>
        <v>98166.666666666628</v>
      </c>
      <c r="E95" s="16" t="str">
        <f t="shared" si="1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2.75" customHeight="1" x14ac:dyDescent="0.2">
      <c r="A96" s="4" t="s">
        <v>160</v>
      </c>
      <c r="B96" s="4" t="s">
        <v>156</v>
      </c>
      <c r="C96" s="5">
        <v>743000</v>
      </c>
      <c r="D96" s="18">
        <f>C96-(C96/(1+IVA))</f>
        <v>123833.33333333326</v>
      </c>
      <c r="E96" s="16" t="str">
        <f t="shared" si="1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2.75" customHeight="1" x14ac:dyDescent="0.2">
      <c r="A97" s="4" t="s">
        <v>161</v>
      </c>
      <c r="B97" s="4" t="s">
        <v>128</v>
      </c>
      <c r="C97" s="5">
        <v>271000</v>
      </c>
      <c r="D97" s="18">
        <f>C97-(C97/(1+IVA))</f>
        <v>45166.666666666657</v>
      </c>
      <c r="E97" s="16" t="str">
        <f t="shared" si="1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2.75" customHeight="1" x14ac:dyDescent="0.2">
      <c r="A98" s="4" t="s">
        <v>162</v>
      </c>
      <c r="B98" s="4" t="s">
        <v>128</v>
      </c>
      <c r="C98" s="5">
        <v>632000</v>
      </c>
      <c r="D98" s="18">
        <f>C98-(C98/(1+IVA))</f>
        <v>105333.33333333326</v>
      </c>
      <c r="E98" s="16" t="str">
        <f t="shared" si="1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2.75" customHeight="1" x14ac:dyDescent="0.2">
      <c r="A99" s="4" t="s">
        <v>163</v>
      </c>
      <c r="B99" s="4" t="s">
        <v>164</v>
      </c>
      <c r="C99" s="5">
        <v>90000</v>
      </c>
      <c r="D99" s="18">
        <f>C99-(C99/(1+IVA))</f>
        <v>15000</v>
      </c>
      <c r="E99" s="16" t="str">
        <f t="shared" si="1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2.75" customHeight="1" x14ac:dyDescent="0.2">
      <c r="A100" s="4" t="s">
        <v>165</v>
      </c>
      <c r="B100" s="4" t="s">
        <v>166</v>
      </c>
      <c r="C100" s="5">
        <v>4000</v>
      </c>
      <c r="D100" s="18">
        <f>C100-(C100/(1+IVA))</f>
        <v>666.66666666666652</v>
      </c>
      <c r="E100" s="16" t="str">
        <f t="shared" si="1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2.75" customHeight="1" x14ac:dyDescent="0.2">
      <c r="A101" s="4" t="s">
        <v>167</v>
      </c>
      <c r="B101" s="4" t="s">
        <v>168</v>
      </c>
      <c r="C101" s="5">
        <v>5000</v>
      </c>
      <c r="D101" s="18">
        <f>C101-(C101/(1+IVA))</f>
        <v>833.33333333333303</v>
      </c>
      <c r="E101" s="16" t="str">
        <f t="shared" si="1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2.75" customHeight="1" x14ac:dyDescent="0.2">
      <c r="A102" s="4" t="s">
        <v>169</v>
      </c>
      <c r="B102" s="4" t="s">
        <v>170</v>
      </c>
      <c r="C102" s="5">
        <v>41000</v>
      </c>
      <c r="D102" s="18">
        <f>C102-(C102/(1+IVA))</f>
        <v>6833.3333333333285</v>
      </c>
      <c r="E102" s="16" t="str">
        <f t="shared" si="1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2.75" customHeight="1" x14ac:dyDescent="0.2">
      <c r="A103" s="4" t="s">
        <v>171</v>
      </c>
      <c r="B103" s="4"/>
      <c r="C103" s="5"/>
      <c r="D103" s="18">
        <f>C103-(C103/(1+IVA))</f>
        <v>0</v>
      </c>
      <c r="E103" s="16" t="str">
        <f t="shared" si="1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2.75" customHeight="1" x14ac:dyDescent="0.2">
      <c r="A104" s="4" t="s">
        <v>172</v>
      </c>
      <c r="B104" s="4" t="s">
        <v>173</v>
      </c>
      <c r="C104" s="5">
        <v>737000</v>
      </c>
      <c r="D104" s="18">
        <f>C104-(C104/(1+IVA))</f>
        <v>122833.33333333326</v>
      </c>
      <c r="E104" s="16" t="str">
        <f t="shared" si="1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2.75" customHeight="1" x14ac:dyDescent="0.2">
      <c r="A105" s="4" t="s">
        <v>174</v>
      </c>
      <c r="B105" s="4" t="s">
        <v>175</v>
      </c>
      <c r="C105" s="5">
        <v>910000</v>
      </c>
      <c r="D105" s="18">
        <f>C105-(C105/(1+IVA))</f>
        <v>151666.66666666663</v>
      </c>
      <c r="E105" s="16" t="str">
        <f t="shared" si="1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2.75" customHeight="1" x14ac:dyDescent="0.2">
      <c r="A106" s="4" t="s">
        <v>176</v>
      </c>
      <c r="B106" s="4"/>
      <c r="C106" s="5">
        <v>241000</v>
      </c>
      <c r="D106" s="18">
        <f>C106-(C106/(1+IVA))</f>
        <v>40166.666666666657</v>
      </c>
      <c r="E106" s="16" t="str">
        <f t="shared" si="1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2.75" customHeight="1" x14ac:dyDescent="0.2">
      <c r="A107" s="4" t="s">
        <v>177</v>
      </c>
      <c r="B107" s="4"/>
      <c r="C107" s="5"/>
      <c r="D107" s="18">
        <f>C107-(C107/(1+IVA))</f>
        <v>0</v>
      </c>
      <c r="E107" s="16" t="str">
        <f t="shared" si="1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2.75" customHeight="1" x14ac:dyDescent="0.2">
      <c r="A108" s="4" t="s">
        <v>178</v>
      </c>
      <c r="B108" s="4" t="s">
        <v>179</v>
      </c>
      <c r="C108" s="5">
        <v>112000</v>
      </c>
      <c r="D108" s="18">
        <f>C108-(C108/(1+IVA))</f>
        <v>18666.666666666657</v>
      </c>
      <c r="E108" s="16" t="str">
        <f t="shared" si="1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2.75" customHeight="1" x14ac:dyDescent="0.2">
      <c r="A109" s="4" t="s">
        <v>180</v>
      </c>
      <c r="B109" s="4" t="s">
        <v>179</v>
      </c>
      <c r="C109" s="5">
        <v>113000</v>
      </c>
      <c r="D109" s="18">
        <f>C109-(C109/(1+IVA))</f>
        <v>18833.333333333328</v>
      </c>
      <c r="E109" s="16" t="str">
        <f t="shared" si="1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2.75" customHeight="1" x14ac:dyDescent="0.2">
      <c r="A110" s="4" t="s">
        <v>181</v>
      </c>
      <c r="B110" s="4" t="s">
        <v>182</v>
      </c>
      <c r="C110" s="5">
        <v>121000</v>
      </c>
      <c r="D110" s="18">
        <f>C110-(C110/(1+IVA))</f>
        <v>20166.666666666657</v>
      </c>
      <c r="E110" s="16" t="str">
        <f t="shared" si="1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2.75" customHeight="1" x14ac:dyDescent="0.2">
      <c r="A111" s="4" t="s">
        <v>183</v>
      </c>
      <c r="B111" s="4" t="s">
        <v>184</v>
      </c>
      <c r="C111" s="5">
        <v>160000</v>
      </c>
      <c r="D111" s="18">
        <f>C111-(C111/(1+IVA))</f>
        <v>26666.666666666657</v>
      </c>
      <c r="E111" s="16" t="str">
        <f t="shared" si="1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2.75" customHeight="1" x14ac:dyDescent="0.2">
      <c r="A112" s="4" t="s">
        <v>185</v>
      </c>
      <c r="B112" s="4" t="s">
        <v>186</v>
      </c>
      <c r="C112" s="5">
        <v>195000</v>
      </c>
      <c r="D112" s="18">
        <f>C112-(C112/(1+IVA))</f>
        <v>32500</v>
      </c>
      <c r="E112" s="16" t="str">
        <f t="shared" si="1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2.75" customHeight="1" x14ac:dyDescent="0.2">
      <c r="A113" s="4" t="s">
        <v>187</v>
      </c>
      <c r="B113" s="4" t="s">
        <v>188</v>
      </c>
      <c r="C113" s="5">
        <v>215000</v>
      </c>
      <c r="D113" s="18">
        <f>C113-(C113/(1+IVA))</f>
        <v>35833.333333333314</v>
      </c>
      <c r="E113" s="16" t="str">
        <f t="shared" si="1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2.75" customHeight="1" x14ac:dyDescent="0.2">
      <c r="A114" s="4" t="s">
        <v>189</v>
      </c>
      <c r="B114" s="4" t="s">
        <v>188</v>
      </c>
      <c r="C114" s="5">
        <v>321000</v>
      </c>
      <c r="D114" s="18">
        <f>C114-(C114/(1+IVA))</f>
        <v>53500</v>
      </c>
      <c r="E114" s="16" t="str">
        <f t="shared" si="1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2.75" customHeight="1" x14ac:dyDescent="0.2">
      <c r="A115" s="4" t="s">
        <v>190</v>
      </c>
      <c r="B115" s="4" t="s">
        <v>191</v>
      </c>
      <c r="C115" s="5">
        <v>614000</v>
      </c>
      <c r="D115" s="18">
        <f>C115-(C115/(1+IVA))</f>
        <v>102333.33333333331</v>
      </c>
      <c r="E115" s="16" t="str">
        <f t="shared" si="1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2.75" customHeight="1" x14ac:dyDescent="0.2">
      <c r="A116" s="4" t="s">
        <v>192</v>
      </c>
      <c r="B116" s="4"/>
      <c r="C116" s="5"/>
      <c r="D116" s="18">
        <f>C116-(C116/(1+IVA))</f>
        <v>0</v>
      </c>
      <c r="E116" s="16" t="str">
        <f t="shared" si="1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2.75" customHeight="1" x14ac:dyDescent="0.2">
      <c r="A117" s="4" t="s">
        <v>193</v>
      </c>
      <c r="B117" s="4" t="s">
        <v>194</v>
      </c>
      <c r="C117" s="5">
        <v>30000</v>
      </c>
      <c r="D117" s="18">
        <f>C117-(C117/(1+IVA))</f>
        <v>5000</v>
      </c>
      <c r="E117" s="16" t="str">
        <f t="shared" si="1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2.75" customHeight="1" x14ac:dyDescent="0.2">
      <c r="A118" s="4" t="s">
        <v>195</v>
      </c>
      <c r="B118" s="4" t="s">
        <v>196</v>
      </c>
      <c r="C118" s="5">
        <v>34000</v>
      </c>
      <c r="D118" s="18">
        <f>C118-(C118/(1+IVA))</f>
        <v>5666.6666666666642</v>
      </c>
      <c r="E118" s="16" t="str">
        <f t="shared" si="1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2.75" customHeight="1" x14ac:dyDescent="0.2">
      <c r="A119" s="4" t="s">
        <v>197</v>
      </c>
      <c r="B119" s="4" t="s">
        <v>194</v>
      </c>
      <c r="C119" s="5">
        <v>35000</v>
      </c>
      <c r="D119" s="18">
        <f>C119-(C119/(1+IVA))</f>
        <v>5833.3333333333321</v>
      </c>
      <c r="E119" s="16" t="str">
        <f t="shared" si="1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2.75" customHeight="1" x14ac:dyDescent="0.2">
      <c r="A120" s="4" t="s">
        <v>198</v>
      </c>
      <c r="B120" s="4" t="s">
        <v>199</v>
      </c>
      <c r="C120" s="5">
        <v>77000</v>
      </c>
      <c r="D120" s="18">
        <f>C120-(C120/(1+IVA))</f>
        <v>12833.333333333328</v>
      </c>
      <c r="E120" s="16" t="str">
        <f t="shared" si="1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2.75" customHeight="1" x14ac:dyDescent="0.2">
      <c r="A121" s="4" t="s">
        <v>200</v>
      </c>
      <c r="B121" s="4" t="s">
        <v>201</v>
      </c>
      <c r="C121" s="5">
        <v>723000</v>
      </c>
      <c r="D121" s="18">
        <f>C121-(C121/(1+IVA))</f>
        <v>120500</v>
      </c>
      <c r="E121" s="16" t="str">
        <f t="shared" si="1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2.75" customHeight="1" x14ac:dyDescent="0.2">
      <c r="A122" s="4" t="s">
        <v>202</v>
      </c>
      <c r="B122" s="4" t="s">
        <v>203</v>
      </c>
      <c r="C122" s="5">
        <v>742000</v>
      </c>
      <c r="D122" s="18">
        <f>C122-(C122/(1+IVA))</f>
        <v>123666.66666666663</v>
      </c>
      <c r="E122" s="16" t="str">
        <f t="shared" si="1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2.75" customHeight="1" x14ac:dyDescent="0.2">
      <c r="A123" s="4" t="s">
        <v>204</v>
      </c>
      <c r="B123" s="4" t="s">
        <v>205</v>
      </c>
      <c r="C123" s="5">
        <v>778000</v>
      </c>
      <c r="D123" s="18">
        <f>C123-(C123/(1+IVA))</f>
        <v>129666.66666666663</v>
      </c>
      <c r="E123" s="16" t="str">
        <f t="shared" si="1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2.75" customHeight="1" x14ac:dyDescent="0.2">
      <c r="A124" s="4" t="s">
        <v>206</v>
      </c>
      <c r="B124" s="4" t="s">
        <v>207</v>
      </c>
      <c r="C124" s="5">
        <v>878000</v>
      </c>
      <c r="D124" s="18">
        <f>C124-(C124/(1+IVA))</f>
        <v>146333.33333333326</v>
      </c>
      <c r="E124" s="16" t="str">
        <f t="shared" si="1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2.75" customHeight="1" x14ac:dyDescent="0.2">
      <c r="A125" s="4" t="s">
        <v>208</v>
      </c>
      <c r="B125" s="4" t="s">
        <v>207</v>
      </c>
      <c r="C125" s="5">
        <v>883000</v>
      </c>
      <c r="D125" s="18">
        <f>C125-(C125/(1+IVA))</f>
        <v>147166.66666666663</v>
      </c>
      <c r="E125" s="16" t="str">
        <f t="shared" si="1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2.75" customHeight="1" x14ac:dyDescent="0.2">
      <c r="A126" s="4" t="s">
        <v>209</v>
      </c>
      <c r="B126" s="4" t="s">
        <v>201</v>
      </c>
      <c r="C126" s="5">
        <v>913000</v>
      </c>
      <c r="D126" s="18">
        <f>C126-(C126/(1+IVA))</f>
        <v>152166.66666666663</v>
      </c>
      <c r="E126" s="16" t="str">
        <f t="shared" si="1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2.75" customHeight="1" x14ac:dyDescent="0.2">
      <c r="A127" s="4" t="s">
        <v>210</v>
      </c>
      <c r="B127" s="4" t="s">
        <v>211</v>
      </c>
      <c r="C127" s="5">
        <v>1125000</v>
      </c>
      <c r="D127" s="18">
        <f>C127-(C127/(1+IVA))</f>
        <v>187500</v>
      </c>
      <c r="E127" s="16" t="str">
        <f t="shared" si="1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2.75" customHeight="1" x14ac:dyDescent="0.2">
      <c r="A128" s="4" t="s">
        <v>212</v>
      </c>
      <c r="B128" s="4"/>
      <c r="C128" s="5"/>
      <c r="D128" s="18">
        <f>C128-(C128/(1+IVA))</f>
        <v>0</v>
      </c>
      <c r="E128" s="16" t="str">
        <f t="shared" si="1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2.75" customHeight="1" x14ac:dyDescent="0.2">
      <c r="A129" s="4" t="s">
        <v>213</v>
      </c>
      <c r="B129" s="4"/>
      <c r="C129" s="5">
        <v>33000</v>
      </c>
      <c r="D129" s="18">
        <f>C129-(C129/(1+IVA))</f>
        <v>5500</v>
      </c>
      <c r="E129" s="16" t="str">
        <f t="shared" si="1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2.75" customHeight="1" x14ac:dyDescent="0.2">
      <c r="A130" s="4" t="s">
        <v>214</v>
      </c>
      <c r="B130" s="4"/>
      <c r="C130" s="5">
        <v>52000</v>
      </c>
      <c r="D130" s="18">
        <f>C130-(C130/(1+IVA))</f>
        <v>8666.6666666666642</v>
      </c>
      <c r="E130" s="16" t="str">
        <f t="shared" si="1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2.75" customHeight="1" x14ac:dyDescent="0.2">
      <c r="A131" s="4" t="s">
        <v>215</v>
      </c>
      <c r="B131" s="4"/>
      <c r="C131" s="5">
        <v>97000</v>
      </c>
      <c r="D131" s="18">
        <f>C131-(C131/(1+IVA))</f>
        <v>16166.666666666657</v>
      </c>
      <c r="E131" s="16" t="str">
        <f t="shared" ref="E131:E194" si="2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2.75" customHeight="1" x14ac:dyDescent="0.2">
      <c r="A132" s="4" t="s">
        <v>216</v>
      </c>
      <c r="B132" s="4" t="s">
        <v>128</v>
      </c>
      <c r="C132" s="5"/>
      <c r="D132" s="18">
        <f>C132-(C132/(1+IVA))</f>
        <v>0</v>
      </c>
      <c r="E132" s="16" t="str">
        <f t="shared" si="2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2.75" customHeight="1" x14ac:dyDescent="0.2">
      <c r="A133" s="4" t="s">
        <v>217</v>
      </c>
      <c r="B133" s="4" t="s">
        <v>218</v>
      </c>
      <c r="C133" s="5">
        <v>131000</v>
      </c>
      <c r="D133" s="18">
        <f>C133-(C133/(1+IVA))</f>
        <v>21833.333333333328</v>
      </c>
      <c r="E133" s="16" t="str">
        <f t="shared" si="2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2.75" customHeight="1" x14ac:dyDescent="0.2">
      <c r="A134" s="4" t="s">
        <v>219</v>
      </c>
      <c r="B134" s="4" t="s">
        <v>220</v>
      </c>
      <c r="C134" s="5">
        <v>169000</v>
      </c>
      <c r="D134" s="18">
        <f>C134-(C134/(1+IVA))</f>
        <v>28166.666666666657</v>
      </c>
      <c r="E134" s="16" t="str">
        <f t="shared" si="2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2.75" customHeight="1" x14ac:dyDescent="0.2">
      <c r="A135" s="4" t="s">
        <v>221</v>
      </c>
      <c r="B135" s="4" t="s">
        <v>220</v>
      </c>
      <c r="C135" s="5">
        <v>190000</v>
      </c>
      <c r="D135" s="18">
        <f>C135-(C135/(1+IVA))</f>
        <v>31666.666666666657</v>
      </c>
      <c r="E135" s="16" t="str">
        <f t="shared" si="2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2.75" customHeight="1" x14ac:dyDescent="0.2">
      <c r="A136" s="4" t="s">
        <v>222</v>
      </c>
      <c r="B136" s="4" t="s">
        <v>218</v>
      </c>
      <c r="C136" s="5">
        <v>191000</v>
      </c>
      <c r="D136" s="18">
        <f>C136-(C136/(1+IVA))</f>
        <v>31833.333333333314</v>
      </c>
      <c r="E136" s="16" t="str">
        <f t="shared" si="2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2.75" customHeight="1" x14ac:dyDescent="0.2">
      <c r="A137" s="4" t="s">
        <v>223</v>
      </c>
      <c r="B137" s="4" t="s">
        <v>220</v>
      </c>
      <c r="C137" s="5">
        <v>197000</v>
      </c>
      <c r="D137" s="18">
        <f>C137-(C137/(1+IVA))</f>
        <v>32833.333333333314</v>
      </c>
      <c r="E137" s="16" t="str">
        <f t="shared" si="2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2.75" customHeight="1" x14ac:dyDescent="0.2">
      <c r="A138" s="4" t="s">
        <v>224</v>
      </c>
      <c r="B138" s="4" t="s">
        <v>220</v>
      </c>
      <c r="C138" s="5">
        <v>201000</v>
      </c>
      <c r="D138" s="18">
        <f>C138-(C138/(1+IVA))</f>
        <v>33500</v>
      </c>
      <c r="E138" s="16" t="str">
        <f t="shared" si="2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2.75" customHeight="1" x14ac:dyDescent="0.2">
      <c r="A139" s="4" t="s">
        <v>225</v>
      </c>
      <c r="B139" s="4" t="s">
        <v>226</v>
      </c>
      <c r="C139" s="5">
        <v>220000</v>
      </c>
      <c r="D139" s="18">
        <f>C139-(C139/(1+IVA))</f>
        <v>36666.666666666657</v>
      </c>
      <c r="E139" s="16" t="str">
        <f t="shared" si="2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2.75" customHeight="1" x14ac:dyDescent="0.2">
      <c r="A140" s="4" t="s">
        <v>227</v>
      </c>
      <c r="B140" s="4" t="s">
        <v>218</v>
      </c>
      <c r="C140" s="5">
        <v>250000</v>
      </c>
      <c r="D140" s="18">
        <f>C140-(C140/(1+IVA))</f>
        <v>41666.666666666657</v>
      </c>
      <c r="E140" s="16" t="str">
        <f t="shared" si="2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2.75" customHeight="1" x14ac:dyDescent="0.2">
      <c r="A141" s="4" t="s">
        <v>228</v>
      </c>
      <c r="B141" s="4" t="s">
        <v>220</v>
      </c>
      <c r="C141" s="5">
        <v>257000</v>
      </c>
      <c r="D141" s="18">
        <f>C141-(C141/(1+IVA))</f>
        <v>42833.333333333314</v>
      </c>
      <c r="E141" s="16" t="str">
        <f t="shared" si="2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2.75" customHeight="1" x14ac:dyDescent="0.2">
      <c r="A142" s="4" t="s">
        <v>229</v>
      </c>
      <c r="B142" s="4" t="s">
        <v>220</v>
      </c>
      <c r="C142" s="5">
        <v>278000</v>
      </c>
      <c r="D142" s="18">
        <f>C142-(C142/(1+IVA))</f>
        <v>46333.333333333314</v>
      </c>
      <c r="E142" s="16" t="str">
        <f t="shared" si="2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2.75" customHeight="1" x14ac:dyDescent="0.2">
      <c r="A143" s="4" t="s">
        <v>230</v>
      </c>
      <c r="B143" s="4" t="s">
        <v>226</v>
      </c>
      <c r="C143" s="5">
        <v>280000</v>
      </c>
      <c r="D143" s="18">
        <f>C143-(C143/(1+IVA))</f>
        <v>46666.666666666657</v>
      </c>
      <c r="E143" s="16" t="str">
        <f t="shared" si="2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2.75" customHeight="1" x14ac:dyDescent="0.2">
      <c r="A144" s="4" t="s">
        <v>231</v>
      </c>
      <c r="B144" s="4" t="s">
        <v>220</v>
      </c>
      <c r="C144" s="5">
        <v>300000</v>
      </c>
      <c r="D144" s="18">
        <f>C144-(C144/(1+IVA))</f>
        <v>50000</v>
      </c>
      <c r="E144" s="16" t="str">
        <f t="shared" si="2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2.75" customHeight="1" x14ac:dyDescent="0.2">
      <c r="A145" s="4" t="s">
        <v>232</v>
      </c>
      <c r="B145" s="4" t="s">
        <v>233</v>
      </c>
      <c r="C145" s="5">
        <v>305000</v>
      </c>
      <c r="D145" s="18">
        <f>C145-(C145/(1+IVA))</f>
        <v>50833.333333333314</v>
      </c>
      <c r="E145" s="16" t="str">
        <f t="shared" si="2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2.75" customHeight="1" x14ac:dyDescent="0.2">
      <c r="A146" s="4" t="s">
        <v>234</v>
      </c>
      <c r="B146" s="4" t="s">
        <v>220</v>
      </c>
      <c r="C146" s="5">
        <v>335000</v>
      </c>
      <c r="D146" s="18">
        <f>C146-(C146/(1+IVA))</f>
        <v>55833.333333333314</v>
      </c>
      <c r="E146" s="16" t="str">
        <f t="shared" si="2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2.75" customHeight="1" x14ac:dyDescent="0.2">
      <c r="A147" s="4" t="s">
        <v>235</v>
      </c>
      <c r="B147" s="4" t="s">
        <v>220</v>
      </c>
      <c r="C147" s="5">
        <v>360000</v>
      </c>
      <c r="D147" s="18">
        <f>C147-(C147/(1+IVA))</f>
        <v>60000</v>
      </c>
      <c r="E147" s="16" t="str">
        <f t="shared" si="2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2.75" customHeight="1" x14ac:dyDescent="0.2">
      <c r="A148" s="4" t="s">
        <v>236</v>
      </c>
      <c r="B148" s="4" t="s">
        <v>218</v>
      </c>
      <c r="C148" s="5">
        <v>429000</v>
      </c>
      <c r="D148" s="18">
        <f>C148-(C148/(1+IVA))</f>
        <v>71500</v>
      </c>
      <c r="E148" s="16" t="str">
        <f t="shared" si="2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2.75" customHeight="1" x14ac:dyDescent="0.2">
      <c r="A149" s="4" t="s">
        <v>237</v>
      </c>
      <c r="B149" s="4" t="s">
        <v>220</v>
      </c>
      <c r="C149" s="5">
        <v>701000</v>
      </c>
      <c r="D149" s="18">
        <f>C149-(C149/(1+IVA))</f>
        <v>116833.33333333326</v>
      </c>
      <c r="E149" s="16" t="str">
        <f t="shared" si="2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4.25" customHeight="1" x14ac:dyDescent="0.2">
      <c r="A150" s="4" t="s">
        <v>238</v>
      </c>
      <c r="B150" s="4"/>
      <c r="C150" s="5"/>
      <c r="D150" s="18">
        <f>C150-(C150/(1+IVA))</f>
        <v>0</v>
      </c>
      <c r="E150" s="16" t="str">
        <f t="shared" si="2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2.75" customHeight="1" x14ac:dyDescent="0.2">
      <c r="A151" s="4" t="s">
        <v>239</v>
      </c>
      <c r="B151" s="4" t="s">
        <v>240</v>
      </c>
      <c r="C151" s="5">
        <v>90000</v>
      </c>
      <c r="D151" s="18">
        <f>C151-(C151/(1+IVA))</f>
        <v>15000</v>
      </c>
      <c r="E151" s="16" t="str">
        <f t="shared" si="2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2.75" customHeight="1" x14ac:dyDescent="0.2">
      <c r="A152" s="4" t="s">
        <v>241</v>
      </c>
      <c r="B152" s="4" t="s">
        <v>242</v>
      </c>
      <c r="C152" s="5">
        <v>69000</v>
      </c>
      <c r="D152" s="18">
        <f>C152-(C152/(1+IVA))</f>
        <v>11500</v>
      </c>
      <c r="E152" s="16" t="str">
        <f t="shared" si="2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2.75" customHeight="1" x14ac:dyDescent="0.2">
      <c r="A153" s="4" t="s">
        <v>243</v>
      </c>
      <c r="B153" s="4" t="s">
        <v>242</v>
      </c>
      <c r="C153" s="5">
        <v>89000</v>
      </c>
      <c r="D153" s="18">
        <f>C153-(C153/(1+IVA))</f>
        <v>14833.333333333328</v>
      </c>
      <c r="E153" s="16" t="str">
        <f t="shared" si="2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2.75" customHeight="1" x14ac:dyDescent="0.2">
      <c r="A154" s="4" t="s">
        <v>244</v>
      </c>
      <c r="B154" s="4" t="s">
        <v>242</v>
      </c>
      <c r="C154" s="5">
        <v>138000</v>
      </c>
      <c r="D154" s="18">
        <f>C154-(C154/(1+IVA))</f>
        <v>23000</v>
      </c>
      <c r="E154" s="16" t="str">
        <f t="shared" si="2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2.75" customHeight="1" x14ac:dyDescent="0.2">
      <c r="A155" s="4" t="s">
        <v>245</v>
      </c>
      <c r="B155" s="4" t="s">
        <v>242</v>
      </c>
      <c r="C155" s="5">
        <v>196000</v>
      </c>
      <c r="D155" s="18">
        <f>C155-(C155/(1+IVA))</f>
        <v>32666.666666666657</v>
      </c>
      <c r="E155" s="16" t="str">
        <f t="shared" si="2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2.75" customHeight="1" x14ac:dyDescent="0.2">
      <c r="A156" s="4" t="s">
        <v>246</v>
      </c>
      <c r="B156" s="4" t="s">
        <v>242</v>
      </c>
      <c r="C156" s="5">
        <v>329000</v>
      </c>
      <c r="D156" s="18">
        <f>C156-(C156/(1+IVA))</f>
        <v>54833.333333333314</v>
      </c>
      <c r="E156" s="16" t="str">
        <f t="shared" si="2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2.75" customHeight="1" x14ac:dyDescent="0.2">
      <c r="A157" s="4" t="s">
        <v>247</v>
      </c>
      <c r="B157" s="4" t="s">
        <v>242</v>
      </c>
      <c r="C157" s="5">
        <v>295000</v>
      </c>
      <c r="D157" s="18">
        <f>C157-(C157/(1+IVA))</f>
        <v>49166.666666666657</v>
      </c>
      <c r="E157" s="16" t="str">
        <f t="shared" si="2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2.75" customHeight="1" x14ac:dyDescent="0.2">
      <c r="A158" s="4" t="s">
        <v>248</v>
      </c>
      <c r="B158" s="4" t="s">
        <v>249</v>
      </c>
      <c r="C158" s="5">
        <v>19000</v>
      </c>
      <c r="D158" s="18">
        <f>C158-(C158/(1+IVA))</f>
        <v>3166.6666666666661</v>
      </c>
      <c r="E158" s="16" t="str">
        <f t="shared" si="2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2.75" customHeight="1" x14ac:dyDescent="0.2">
      <c r="A159" s="4" t="s">
        <v>250</v>
      </c>
      <c r="B159" s="4" t="s">
        <v>251</v>
      </c>
      <c r="C159" s="5">
        <v>26000</v>
      </c>
      <c r="D159" s="18">
        <f>C159-(C159/(1+IVA))</f>
        <v>4333.3333333333321</v>
      </c>
      <c r="E159" s="16" t="str">
        <f t="shared" si="2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2.75" customHeight="1" x14ac:dyDescent="0.2">
      <c r="A160" s="4" t="s">
        <v>252</v>
      </c>
      <c r="B160" s="4" t="s">
        <v>253</v>
      </c>
      <c r="C160" s="5">
        <v>28000</v>
      </c>
      <c r="D160" s="18">
        <f>C160-(C160/(1+IVA))</f>
        <v>4666.6666666666642</v>
      </c>
      <c r="E160" s="16" t="str">
        <f t="shared" si="2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2.75" customHeight="1" x14ac:dyDescent="0.2">
      <c r="A161" s="4" t="s">
        <v>254</v>
      </c>
      <c r="B161" s="4" t="s">
        <v>255</v>
      </c>
      <c r="C161" s="5">
        <v>56000</v>
      </c>
      <c r="D161" s="18">
        <f>C161-(C161/(1+IVA))</f>
        <v>9333.3333333333285</v>
      </c>
      <c r="E161" s="16" t="str">
        <f t="shared" si="2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2.75" customHeight="1" x14ac:dyDescent="0.2">
      <c r="A162" s="4" t="s">
        <v>256</v>
      </c>
      <c r="B162" s="4"/>
      <c r="C162" s="5"/>
      <c r="D162" s="18">
        <f>C162-(C162/(1+IVA))</f>
        <v>0</v>
      </c>
      <c r="E162" s="16" t="str">
        <f t="shared" si="2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2.75" customHeight="1" x14ac:dyDescent="0.2">
      <c r="A163" s="4" t="s">
        <v>257</v>
      </c>
      <c r="B163" s="4"/>
      <c r="C163" s="5">
        <v>216000</v>
      </c>
      <c r="D163" s="18">
        <f>C163-(C163/(1+IVA))</f>
        <v>36000</v>
      </c>
      <c r="E163" s="16" t="str">
        <f t="shared" si="2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2.75" customHeight="1" x14ac:dyDescent="0.2">
      <c r="A164" s="4" t="s">
        <v>258</v>
      </c>
      <c r="B164" s="4"/>
      <c r="C164" s="5">
        <v>250000</v>
      </c>
      <c r="D164" s="18">
        <f>C164-(C164/(1+IVA))</f>
        <v>41666.666666666657</v>
      </c>
      <c r="E164" s="16" t="str">
        <f t="shared" si="2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2.75" customHeight="1" x14ac:dyDescent="0.2">
      <c r="A165" s="4" t="s">
        <v>259</v>
      </c>
      <c r="B165" s="4"/>
      <c r="C165" s="5">
        <v>382000</v>
      </c>
      <c r="D165" s="18">
        <f>C165-(C165/(1+IVA))</f>
        <v>63666.666666666628</v>
      </c>
      <c r="E165" s="16" t="str">
        <f t="shared" si="2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2.75" customHeight="1" x14ac:dyDescent="0.2">
      <c r="A166" s="4" t="s">
        <v>260</v>
      </c>
      <c r="B166" s="4"/>
      <c r="C166" s="5">
        <v>524000</v>
      </c>
      <c r="D166" s="18">
        <f>C166-(C166/(1+IVA))</f>
        <v>87333.333333333314</v>
      </c>
      <c r="E166" s="16" t="str">
        <f t="shared" si="2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2.75" customHeight="1" x14ac:dyDescent="0.2">
      <c r="A167" s="4" t="s">
        <v>261</v>
      </c>
      <c r="B167" s="4"/>
      <c r="C167" s="5">
        <v>757000</v>
      </c>
      <c r="D167" s="18">
        <f>C167-(C167/(1+IVA))</f>
        <v>126166.66666666663</v>
      </c>
      <c r="E167" s="16" t="str">
        <f t="shared" si="2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2.75" customHeight="1" x14ac:dyDescent="0.2">
      <c r="A168" s="4" t="s">
        <v>262</v>
      </c>
      <c r="B168" s="4"/>
      <c r="C168" s="5">
        <v>1045000</v>
      </c>
      <c r="D168" s="18">
        <f>C168-(C168/(1+IVA))</f>
        <v>174166.66666666663</v>
      </c>
      <c r="E168" s="16" t="str">
        <f t="shared" si="2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2.75" customHeight="1" x14ac:dyDescent="0.2">
      <c r="A169" s="4" t="s">
        <v>263</v>
      </c>
      <c r="B169" s="4"/>
      <c r="C169" s="5">
        <v>1568000</v>
      </c>
      <c r="D169" s="18">
        <f>C169-(C169/(1+IVA))</f>
        <v>261333.33333333326</v>
      </c>
      <c r="E169" s="16" t="str">
        <f t="shared" si="2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2.75" customHeight="1" x14ac:dyDescent="0.2">
      <c r="A170" s="4" t="s">
        <v>264</v>
      </c>
      <c r="B170" s="4"/>
      <c r="C170" s="5">
        <v>117000</v>
      </c>
      <c r="D170" s="18">
        <f>C170-(C170/(1+IVA))</f>
        <v>19500</v>
      </c>
      <c r="E170" s="16" t="str">
        <f t="shared" si="2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2.75" customHeight="1" x14ac:dyDescent="0.2">
      <c r="A171" s="4" t="s">
        <v>265</v>
      </c>
      <c r="B171" s="4"/>
      <c r="C171" s="5">
        <v>158000</v>
      </c>
      <c r="D171" s="18">
        <f>C171-(C171/(1+IVA))</f>
        <v>26333.333333333314</v>
      </c>
      <c r="E171" s="16" t="str">
        <f t="shared" si="2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2.75" customHeight="1" x14ac:dyDescent="0.2">
      <c r="A172" s="4" t="s">
        <v>266</v>
      </c>
      <c r="B172" s="4"/>
      <c r="C172" s="5">
        <v>260000</v>
      </c>
      <c r="D172" s="18">
        <f>C172-(C172/(1+IVA))</f>
        <v>43333.333333333314</v>
      </c>
      <c r="E172" s="16" t="str">
        <f t="shared" si="2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2.75" customHeight="1" x14ac:dyDescent="0.2">
      <c r="A173" s="4" t="s">
        <v>267</v>
      </c>
      <c r="B173" s="4"/>
      <c r="C173" s="5">
        <v>193000</v>
      </c>
      <c r="D173" s="18">
        <f>C173-(C173/(1+IVA))</f>
        <v>32166.666666666657</v>
      </c>
      <c r="E173" s="16" t="str">
        <f t="shared" si="2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2.75" customHeight="1" x14ac:dyDescent="0.2">
      <c r="A174" s="4" t="s">
        <v>268</v>
      </c>
      <c r="B174" s="4"/>
      <c r="C174" s="5">
        <v>270000</v>
      </c>
      <c r="D174" s="18">
        <f>C174-(C174/(1+IVA))</f>
        <v>45000</v>
      </c>
      <c r="E174" s="16" t="str">
        <f t="shared" si="2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2.75" customHeight="1" x14ac:dyDescent="0.2">
      <c r="A175" s="4" t="s">
        <v>269</v>
      </c>
      <c r="B175" s="4"/>
      <c r="C175" s="5">
        <v>314000</v>
      </c>
      <c r="D175" s="18">
        <f>C175-(C175/(1+IVA))</f>
        <v>52333.333333333314</v>
      </c>
      <c r="E175" s="16" t="str">
        <f t="shared" si="2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2.75" customHeight="1" x14ac:dyDescent="0.2">
      <c r="A176" s="4" t="s">
        <v>270</v>
      </c>
      <c r="B176" s="4"/>
      <c r="C176" s="5">
        <v>894000</v>
      </c>
      <c r="D176" s="18">
        <f>C176-(C176/(1+IVA))</f>
        <v>149000</v>
      </c>
      <c r="E176" s="16" t="str">
        <f t="shared" si="2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2.75" customHeight="1" x14ac:dyDescent="0.2">
      <c r="A177" s="4" t="s">
        <v>271</v>
      </c>
      <c r="B177" s="4"/>
      <c r="C177" s="5">
        <v>1040000</v>
      </c>
      <c r="D177" s="18">
        <f>C177-(C177/(1+IVA))</f>
        <v>173333.33333333326</v>
      </c>
      <c r="E177" s="16" t="str">
        <f t="shared" si="2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2.75" customHeight="1" x14ac:dyDescent="0.2">
      <c r="A178" s="4" t="s">
        <v>272</v>
      </c>
      <c r="B178" s="4"/>
      <c r="C178" s="5">
        <v>8000</v>
      </c>
      <c r="D178" s="18">
        <f>C178-(C178/(1+IVA))</f>
        <v>1333.333333333333</v>
      </c>
      <c r="E178" s="16" t="str">
        <f t="shared" si="2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2.75" customHeight="1" x14ac:dyDescent="0.2">
      <c r="A179" s="4" t="s">
        <v>273</v>
      </c>
      <c r="B179" s="4"/>
      <c r="C179" s="5">
        <v>10000</v>
      </c>
      <c r="D179" s="18">
        <f>C179-(C179/(1+IVA))</f>
        <v>1666.6666666666661</v>
      </c>
      <c r="E179" s="16" t="str">
        <f t="shared" si="2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2.75" customHeight="1" x14ac:dyDescent="0.2">
      <c r="A180" s="4" t="s">
        <v>274</v>
      </c>
      <c r="B180" s="4"/>
      <c r="C180" s="5">
        <v>24000</v>
      </c>
      <c r="D180" s="18">
        <f>C180-(C180/(1+IVA))</f>
        <v>4000</v>
      </c>
      <c r="E180" s="16" t="str">
        <f t="shared" si="2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2.75" customHeight="1" x14ac:dyDescent="0.2">
      <c r="A181" s="4" t="s">
        <v>275</v>
      </c>
      <c r="B181" s="4" t="s">
        <v>128</v>
      </c>
      <c r="C181" s="5">
        <v>11000</v>
      </c>
      <c r="D181" s="18">
        <f>C181-(C181/(1+IVA))</f>
        <v>1833.3333333333321</v>
      </c>
      <c r="E181" s="16" t="str">
        <f t="shared" si="2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2.75" customHeight="1" x14ac:dyDescent="0.2">
      <c r="A182" s="4" t="s">
        <v>276</v>
      </c>
      <c r="B182" s="4" t="s">
        <v>128</v>
      </c>
      <c r="C182" s="5">
        <v>10000</v>
      </c>
      <c r="D182" s="18">
        <f>C182-(C182/(1+IVA))</f>
        <v>1666.6666666666661</v>
      </c>
      <c r="E182" s="16" t="str">
        <f t="shared" si="2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2.75" customHeight="1" x14ac:dyDescent="0.2">
      <c r="A183" s="4" t="s">
        <v>277</v>
      </c>
      <c r="B183" s="4" t="s">
        <v>128</v>
      </c>
      <c r="C183" s="5">
        <v>26000</v>
      </c>
      <c r="D183" s="18">
        <f>C183-(C183/(1+IVA))</f>
        <v>4333.3333333333321</v>
      </c>
      <c r="E183" s="16" t="str">
        <f t="shared" si="2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2.75" customHeight="1" x14ac:dyDescent="0.2">
      <c r="A184" s="4" t="s">
        <v>278</v>
      </c>
      <c r="B184" s="4"/>
      <c r="C184" s="5"/>
      <c r="D184" s="18">
        <f>C184-(C184/(1+IVA))</f>
        <v>0</v>
      </c>
      <c r="E184" s="16" t="str">
        <f t="shared" si="2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2.75" customHeight="1" x14ac:dyDescent="0.2">
      <c r="A185" s="4" t="s">
        <v>279</v>
      </c>
      <c r="B185" s="4" t="s">
        <v>280</v>
      </c>
      <c r="C185" s="5">
        <v>22000</v>
      </c>
      <c r="D185" s="18">
        <f>C185-(C185/(1+IVA))</f>
        <v>3666.6666666666642</v>
      </c>
      <c r="E185" s="16" t="str">
        <f t="shared" si="2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2.75" customHeight="1" x14ac:dyDescent="0.2">
      <c r="A186" s="4" t="s">
        <v>281</v>
      </c>
      <c r="B186" s="4" t="s">
        <v>282</v>
      </c>
      <c r="C186" s="5">
        <v>63000</v>
      </c>
      <c r="D186" s="18">
        <f>C186-(C186/(1+IVA))</f>
        <v>10500</v>
      </c>
      <c r="E186" s="16" t="str">
        <f t="shared" si="2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2.75" customHeight="1" x14ac:dyDescent="0.2">
      <c r="A187" s="4" t="s">
        <v>283</v>
      </c>
      <c r="B187" s="4" t="s">
        <v>282</v>
      </c>
      <c r="C187" s="5">
        <v>63000</v>
      </c>
      <c r="D187" s="18">
        <f>C187-(C187/(1+IVA))</f>
        <v>10500</v>
      </c>
      <c r="E187" s="16" t="str">
        <f t="shared" si="2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2.75" customHeight="1" x14ac:dyDescent="0.2">
      <c r="A188" s="4" t="s">
        <v>284</v>
      </c>
      <c r="B188" s="4" t="s">
        <v>282</v>
      </c>
      <c r="C188" s="5">
        <v>26000</v>
      </c>
      <c r="D188" s="18">
        <f>C188-(C188/(1+IVA))</f>
        <v>4333.3333333333321</v>
      </c>
      <c r="E188" s="16" t="str">
        <f t="shared" si="2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2.75" customHeight="1" x14ac:dyDescent="0.2">
      <c r="A189" s="4" t="s">
        <v>285</v>
      </c>
      <c r="B189" s="4" t="s">
        <v>286</v>
      </c>
      <c r="C189" s="5">
        <v>25000</v>
      </c>
      <c r="D189" s="18">
        <f>C189-(C189/(1+IVA))</f>
        <v>4166.6666666666642</v>
      </c>
      <c r="E189" s="16" t="str">
        <f t="shared" si="2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2.75" customHeight="1" x14ac:dyDescent="0.2">
      <c r="A190" s="4" t="s">
        <v>287</v>
      </c>
      <c r="B190" s="4" t="s">
        <v>286</v>
      </c>
      <c r="C190" s="5">
        <v>25000</v>
      </c>
      <c r="D190" s="18">
        <f>C190-(C190/(1+IVA))</f>
        <v>4166.6666666666642</v>
      </c>
      <c r="E190" s="16" t="str">
        <f t="shared" si="2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2.75" customHeight="1" x14ac:dyDescent="0.2">
      <c r="A191" s="4" t="s">
        <v>288</v>
      </c>
      <c r="B191" s="4" t="s">
        <v>286</v>
      </c>
      <c r="C191" s="5">
        <v>46000</v>
      </c>
      <c r="D191" s="18">
        <f>C191-(C191/(1+IVA))</f>
        <v>7666.6666666666642</v>
      </c>
      <c r="E191" s="16" t="str">
        <f t="shared" si="2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2.75" customHeight="1" x14ac:dyDescent="0.2">
      <c r="A192" s="4" t="s">
        <v>289</v>
      </c>
      <c r="B192" s="4"/>
      <c r="C192" s="5"/>
      <c r="D192" s="18">
        <f>C192-(C192/(1+IVA))</f>
        <v>0</v>
      </c>
      <c r="E192" s="16" t="str">
        <f t="shared" si="2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2.75" customHeight="1" x14ac:dyDescent="0.2">
      <c r="A193" s="4" t="s">
        <v>290</v>
      </c>
      <c r="B193" s="4" t="s">
        <v>291</v>
      </c>
      <c r="C193" s="5">
        <v>37000</v>
      </c>
      <c r="D193" s="18">
        <f>C193-(C193/(1+IVA))</f>
        <v>6166.6666666666642</v>
      </c>
      <c r="E193" s="16" t="str">
        <f t="shared" si="2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2.75" customHeight="1" x14ac:dyDescent="0.2">
      <c r="A194" s="4" t="s">
        <v>292</v>
      </c>
      <c r="B194" s="4" t="s">
        <v>291</v>
      </c>
      <c r="C194" s="5">
        <v>37000</v>
      </c>
      <c r="D194" s="18">
        <f>C194-(C194/(1+IVA))</f>
        <v>6166.6666666666642</v>
      </c>
      <c r="E194" s="16" t="str">
        <f t="shared" si="2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2.75" customHeight="1" x14ac:dyDescent="0.2">
      <c r="A195" s="4" t="s">
        <v>293</v>
      </c>
      <c r="B195" s="4" t="s">
        <v>294</v>
      </c>
      <c r="C195" s="5">
        <v>11000</v>
      </c>
      <c r="D195" s="18">
        <f>C195-(C195/(1+IVA))</f>
        <v>1833.3333333333321</v>
      </c>
      <c r="E195" s="16" t="str">
        <f t="shared" ref="E195:E258" si="3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2.75" customHeight="1" x14ac:dyDescent="0.2">
      <c r="A196" s="4" t="s">
        <v>295</v>
      </c>
      <c r="B196" s="4" t="s">
        <v>294</v>
      </c>
      <c r="C196" s="5">
        <v>46000</v>
      </c>
      <c r="D196" s="18">
        <f>C196-(C196/(1+IVA))</f>
        <v>7666.6666666666642</v>
      </c>
      <c r="E196" s="16" t="str">
        <f t="shared" si="3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2.75" customHeight="1" x14ac:dyDescent="0.2">
      <c r="A197" s="4" t="s">
        <v>296</v>
      </c>
      <c r="B197" s="4" t="s">
        <v>294</v>
      </c>
      <c r="C197" s="5">
        <v>19000</v>
      </c>
      <c r="D197" s="18">
        <f>C197-(C197/(1+IVA))</f>
        <v>3166.6666666666661</v>
      </c>
      <c r="E197" s="16" t="str">
        <f t="shared" si="3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2.75" customHeight="1" x14ac:dyDescent="0.2">
      <c r="A198" s="4" t="s">
        <v>297</v>
      </c>
      <c r="B198" s="4" t="s">
        <v>294</v>
      </c>
      <c r="C198" s="5">
        <v>13000</v>
      </c>
      <c r="D198" s="18">
        <f>C198-(C198/(1+IVA))</f>
        <v>2166.6666666666661</v>
      </c>
      <c r="E198" s="16" t="str">
        <f t="shared" si="3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2.75" customHeight="1" x14ac:dyDescent="0.2">
      <c r="A199" s="4" t="s">
        <v>298</v>
      </c>
      <c r="B199" s="4" t="s">
        <v>294</v>
      </c>
      <c r="C199" s="5">
        <v>26000</v>
      </c>
      <c r="D199" s="18">
        <f>C199-(C199/(1+IVA))</f>
        <v>4333.3333333333321</v>
      </c>
      <c r="E199" s="16" t="str">
        <f t="shared" si="3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2.75" customHeight="1" x14ac:dyDescent="0.2">
      <c r="A200" s="4" t="s">
        <v>299</v>
      </c>
      <c r="B200" s="4" t="s">
        <v>294</v>
      </c>
      <c r="C200" s="5">
        <v>26000</v>
      </c>
      <c r="D200" s="18">
        <f>C200-(C200/(1+IVA))</f>
        <v>4333.3333333333321</v>
      </c>
      <c r="E200" s="16" t="str">
        <f t="shared" si="3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2.75" customHeight="1" x14ac:dyDescent="0.2">
      <c r="A201" s="4" t="s">
        <v>300</v>
      </c>
      <c r="B201" s="4" t="s">
        <v>294</v>
      </c>
      <c r="C201" s="5">
        <v>20000</v>
      </c>
      <c r="D201" s="18">
        <f>C201-(C201/(1+IVA))</f>
        <v>3333.3333333333321</v>
      </c>
      <c r="E201" s="16" t="str">
        <f t="shared" si="3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2.75" customHeight="1" x14ac:dyDescent="0.2">
      <c r="A202" s="4" t="s">
        <v>301</v>
      </c>
      <c r="B202" s="4" t="s">
        <v>294</v>
      </c>
      <c r="C202" s="5">
        <v>49000</v>
      </c>
      <c r="D202" s="18">
        <f>C202-(C202/(1+IVA))</f>
        <v>8166.6666666666642</v>
      </c>
      <c r="E202" s="16" t="str">
        <f t="shared" si="3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2.75" customHeight="1" x14ac:dyDescent="0.2">
      <c r="A203" s="4" t="s">
        <v>302</v>
      </c>
      <c r="B203" s="4" t="s">
        <v>294</v>
      </c>
      <c r="C203" s="5">
        <v>33000</v>
      </c>
      <c r="D203" s="18">
        <f>C203-(C203/(1+IVA))</f>
        <v>5500</v>
      </c>
      <c r="E203" s="16" t="str">
        <f t="shared" si="3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2.75" customHeight="1" x14ac:dyDescent="0.2">
      <c r="A204" s="4" t="s">
        <v>303</v>
      </c>
      <c r="B204" s="4" t="s">
        <v>294</v>
      </c>
      <c r="C204" s="5">
        <v>68000</v>
      </c>
      <c r="D204" s="18">
        <f>C204-(C204/(1+IVA))</f>
        <v>11333.333333333328</v>
      </c>
      <c r="E204" s="16" t="str">
        <f t="shared" si="3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2.75" customHeight="1" x14ac:dyDescent="0.2">
      <c r="A205" s="4" t="s">
        <v>304</v>
      </c>
      <c r="B205" s="4" t="s">
        <v>294</v>
      </c>
      <c r="C205" s="5">
        <v>33000</v>
      </c>
      <c r="D205" s="18">
        <f>C205-(C205/(1+IVA))</f>
        <v>5500</v>
      </c>
      <c r="E205" s="16" t="str">
        <f t="shared" si="3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2.75" customHeight="1" x14ac:dyDescent="0.2">
      <c r="A206" s="4" t="s">
        <v>305</v>
      </c>
      <c r="B206" s="4" t="s">
        <v>294</v>
      </c>
      <c r="C206" s="5">
        <v>147000</v>
      </c>
      <c r="D206" s="18">
        <f>C206-(C206/(1+IVA))</f>
        <v>24500</v>
      </c>
      <c r="E206" s="16" t="str">
        <f t="shared" si="3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2.75" customHeight="1" x14ac:dyDescent="0.2">
      <c r="A207" s="4" t="s">
        <v>306</v>
      </c>
      <c r="B207" s="4" t="s">
        <v>294</v>
      </c>
      <c r="C207" s="5">
        <v>151000</v>
      </c>
      <c r="D207" s="18">
        <f>C207-(C207/(1+IVA))</f>
        <v>25166.666666666657</v>
      </c>
      <c r="E207" s="16" t="str">
        <f t="shared" si="3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2.75" customHeight="1" x14ac:dyDescent="0.2">
      <c r="A208" s="4" t="s">
        <v>307</v>
      </c>
      <c r="B208" s="4" t="s">
        <v>294</v>
      </c>
      <c r="C208" s="5">
        <v>197000</v>
      </c>
      <c r="D208" s="18">
        <f>C208-(C208/(1+IVA))</f>
        <v>32833.333333333314</v>
      </c>
      <c r="E208" s="16" t="str">
        <f t="shared" si="3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2.75" customHeight="1" x14ac:dyDescent="0.2">
      <c r="A209" s="4" t="s">
        <v>308</v>
      </c>
      <c r="B209" s="4" t="s">
        <v>294</v>
      </c>
      <c r="C209" s="5">
        <v>310000</v>
      </c>
      <c r="D209" s="18">
        <f>C209-(C209/(1+IVA))</f>
        <v>51666.666666666657</v>
      </c>
      <c r="E209" s="16" t="str">
        <f t="shared" si="3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2.75" customHeight="1" x14ac:dyDescent="0.2">
      <c r="A210" s="4" t="s">
        <v>309</v>
      </c>
      <c r="B210" s="4" t="s">
        <v>294</v>
      </c>
      <c r="C210" s="5">
        <v>271000</v>
      </c>
      <c r="D210" s="18">
        <f>C210-(C210/(1+IVA))</f>
        <v>45166.666666666657</v>
      </c>
      <c r="E210" s="16" t="str">
        <f t="shared" si="3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2.75" customHeight="1" x14ac:dyDescent="0.2">
      <c r="A211" s="4" t="s">
        <v>310</v>
      </c>
      <c r="B211" s="4" t="s">
        <v>294</v>
      </c>
      <c r="C211" s="5">
        <v>458000</v>
      </c>
      <c r="D211" s="18">
        <f>C211-(C211/(1+IVA))</f>
        <v>76333.333333333314</v>
      </c>
      <c r="E211" s="16" t="str">
        <f t="shared" si="3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2.75" customHeight="1" x14ac:dyDescent="0.2">
      <c r="A212" s="4" t="s">
        <v>311</v>
      </c>
      <c r="B212" s="4" t="s">
        <v>294</v>
      </c>
      <c r="C212" s="5">
        <v>412000</v>
      </c>
      <c r="D212" s="18">
        <f>C212-(C212/(1+IVA))</f>
        <v>68666.666666666628</v>
      </c>
      <c r="E212" s="16" t="str">
        <f t="shared" si="3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2.75" customHeight="1" x14ac:dyDescent="0.2">
      <c r="A213" s="4" t="s">
        <v>312</v>
      </c>
      <c r="B213" s="4" t="s">
        <v>313</v>
      </c>
      <c r="C213" s="5">
        <v>807000</v>
      </c>
      <c r="D213" s="18">
        <f>C213-(C213/(1+IVA))</f>
        <v>134500</v>
      </c>
      <c r="E213" s="16" t="str">
        <f t="shared" si="3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2.75" customHeight="1" x14ac:dyDescent="0.2">
      <c r="A214" s="4" t="s">
        <v>314</v>
      </c>
      <c r="B214" s="4"/>
      <c r="C214" s="5">
        <v>4000</v>
      </c>
      <c r="D214" s="18">
        <f>C214-(C214/(1+IVA))</f>
        <v>666.66666666666652</v>
      </c>
      <c r="E214" s="16" t="str">
        <f t="shared" si="3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2.75" customHeight="1" x14ac:dyDescent="0.2">
      <c r="A215" s="4" t="s">
        <v>315</v>
      </c>
      <c r="B215" s="4"/>
      <c r="C215" s="5">
        <v>81000</v>
      </c>
      <c r="D215" s="18">
        <f>C215-(C215/(1+IVA))</f>
        <v>13500</v>
      </c>
      <c r="E215" s="16" t="str">
        <f t="shared" si="3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2.75" customHeight="1" x14ac:dyDescent="0.2">
      <c r="A216" s="4" t="s">
        <v>316</v>
      </c>
      <c r="B216" s="4"/>
      <c r="C216" s="5">
        <v>125000</v>
      </c>
      <c r="D216" s="18">
        <f>C216-(C216/(1+IVA))</f>
        <v>20833.333333333328</v>
      </c>
      <c r="E216" s="16" t="str">
        <f t="shared" si="3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2.75" customHeight="1" x14ac:dyDescent="0.2">
      <c r="A217" s="4" t="s">
        <v>317</v>
      </c>
      <c r="B217" s="4"/>
      <c r="C217" s="5">
        <v>98000</v>
      </c>
      <c r="D217" s="18">
        <f>C217-(C217/(1+IVA))</f>
        <v>16333.333333333328</v>
      </c>
      <c r="E217" s="16" t="str">
        <f t="shared" si="3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2.75" customHeight="1" x14ac:dyDescent="0.2">
      <c r="A218" s="4" t="s">
        <v>318</v>
      </c>
      <c r="B218" s="4"/>
      <c r="C218" s="5">
        <v>140000</v>
      </c>
      <c r="D218" s="18">
        <f>C218-(C218/(1+IVA))</f>
        <v>23333.333333333328</v>
      </c>
      <c r="E218" s="16" t="str">
        <f t="shared" si="3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2.75" customHeight="1" x14ac:dyDescent="0.2">
      <c r="A219" s="4" t="s">
        <v>319</v>
      </c>
      <c r="B219" s="4" t="s">
        <v>320</v>
      </c>
      <c r="C219" s="5">
        <v>5000</v>
      </c>
      <c r="D219" s="18">
        <f>C219-(C219/(1+IVA))</f>
        <v>833.33333333333303</v>
      </c>
      <c r="E219" s="16" t="str">
        <f t="shared" si="3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2.75" customHeight="1" x14ac:dyDescent="0.2">
      <c r="A220" s="4" t="s">
        <v>319</v>
      </c>
      <c r="B220" s="4" t="s">
        <v>321</v>
      </c>
      <c r="C220" s="5">
        <v>6000</v>
      </c>
      <c r="D220" s="18">
        <f>C220-(C220/(1+IVA))</f>
        <v>1000</v>
      </c>
      <c r="E220" s="16" t="str">
        <f t="shared" si="3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2.75" customHeight="1" x14ac:dyDescent="0.2">
      <c r="A221" s="4" t="s">
        <v>322</v>
      </c>
      <c r="B221" s="4"/>
      <c r="C221" s="5">
        <v>9000</v>
      </c>
      <c r="D221" s="18">
        <f>C221-(C221/(1+IVA))</f>
        <v>1500</v>
      </c>
      <c r="E221" s="16" t="str">
        <f t="shared" si="3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2.75" customHeight="1" x14ac:dyDescent="0.2">
      <c r="A222" s="4" t="s">
        <v>323</v>
      </c>
      <c r="B222" s="4" t="s">
        <v>324</v>
      </c>
      <c r="C222" s="5">
        <v>8000</v>
      </c>
      <c r="D222" s="18">
        <f>C222-(C222/(1+IVA))</f>
        <v>1333.333333333333</v>
      </c>
      <c r="E222" s="16" t="str">
        <f t="shared" si="3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2.75" customHeight="1" x14ac:dyDescent="0.2">
      <c r="A223" s="4" t="s">
        <v>325</v>
      </c>
      <c r="B223" s="4"/>
      <c r="C223" s="5">
        <v>11000</v>
      </c>
      <c r="D223" s="18">
        <f>C223-(C223/(1+IVA))</f>
        <v>1833.3333333333321</v>
      </c>
      <c r="E223" s="16" t="str">
        <f t="shared" si="3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2.75" customHeight="1" x14ac:dyDescent="0.2">
      <c r="A224" s="4" t="s">
        <v>326</v>
      </c>
      <c r="B224" s="4" t="s">
        <v>327</v>
      </c>
      <c r="C224" s="5">
        <v>21000</v>
      </c>
      <c r="D224" s="18">
        <f>C224-(C224/(1+IVA))</f>
        <v>3500</v>
      </c>
      <c r="E224" s="16" t="str">
        <f t="shared" si="3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2.75" customHeight="1" x14ac:dyDescent="0.2">
      <c r="A225" s="4" t="s">
        <v>328</v>
      </c>
      <c r="B225" s="4" t="s">
        <v>294</v>
      </c>
      <c r="C225" s="5">
        <v>14000</v>
      </c>
      <c r="D225" s="18">
        <f>C225-(C225/(1+IVA))</f>
        <v>2333.3333333333321</v>
      </c>
      <c r="E225" s="16" t="str">
        <f t="shared" si="3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2.75" customHeight="1" x14ac:dyDescent="0.2">
      <c r="A226" s="4" t="s">
        <v>329</v>
      </c>
      <c r="B226" s="4" t="s">
        <v>294</v>
      </c>
      <c r="C226" s="5">
        <v>23000</v>
      </c>
      <c r="D226" s="18">
        <f>C226-(C226/(1+IVA))</f>
        <v>3833.3333333333321</v>
      </c>
      <c r="E226" s="16" t="str">
        <f t="shared" si="3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2.75" customHeight="1" x14ac:dyDescent="0.2">
      <c r="A227" s="4" t="s">
        <v>330</v>
      </c>
      <c r="B227" s="4" t="s">
        <v>294</v>
      </c>
      <c r="C227" s="5">
        <v>51000</v>
      </c>
      <c r="D227" s="18">
        <f>C227-(C227/(1+IVA))</f>
        <v>8500</v>
      </c>
      <c r="E227" s="16" t="str">
        <f t="shared" si="3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2.75" customHeight="1" x14ac:dyDescent="0.2">
      <c r="A228" s="4" t="s">
        <v>331</v>
      </c>
      <c r="B228" s="4"/>
      <c r="C228" s="5"/>
      <c r="D228" s="18">
        <f>C228-(C228/(1+IVA))</f>
        <v>0</v>
      </c>
      <c r="E228" s="16" t="str">
        <f t="shared" si="3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2.75" customHeight="1" x14ac:dyDescent="0.2">
      <c r="A229" s="4" t="s">
        <v>332</v>
      </c>
      <c r="B229" s="4" t="s">
        <v>333</v>
      </c>
      <c r="C229" s="5">
        <v>198000</v>
      </c>
      <c r="D229" s="18">
        <f>C229-(C229/(1+IVA))</f>
        <v>33000</v>
      </c>
      <c r="E229" s="16" t="str">
        <f t="shared" si="3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2.75" customHeight="1" x14ac:dyDescent="0.2">
      <c r="A230" s="4" t="s">
        <v>334</v>
      </c>
      <c r="B230" s="4" t="s">
        <v>333</v>
      </c>
      <c r="C230" s="5">
        <v>167000</v>
      </c>
      <c r="D230" s="18">
        <f>C230-(C230/(1+IVA))</f>
        <v>27833.333333333314</v>
      </c>
      <c r="E230" s="16" t="str">
        <f t="shared" si="3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2.75" customHeight="1" x14ac:dyDescent="0.2">
      <c r="A231" s="4" t="s">
        <v>335</v>
      </c>
      <c r="B231" s="4" t="s">
        <v>336</v>
      </c>
      <c r="C231" s="5">
        <v>95000</v>
      </c>
      <c r="D231" s="18">
        <f>C231-(C231/(1+IVA))</f>
        <v>15833.333333333328</v>
      </c>
      <c r="E231" s="16" t="str">
        <f t="shared" si="3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2.75" customHeight="1" x14ac:dyDescent="0.2">
      <c r="A232" s="4" t="s">
        <v>337</v>
      </c>
      <c r="B232" s="4" t="s">
        <v>336</v>
      </c>
      <c r="C232" s="5">
        <v>141000</v>
      </c>
      <c r="D232" s="18">
        <f>C232-(C232/(1+IVA))</f>
        <v>23500</v>
      </c>
      <c r="E232" s="16" t="str">
        <f t="shared" si="3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2.75" customHeight="1" x14ac:dyDescent="0.2">
      <c r="A233" s="4" t="s">
        <v>338</v>
      </c>
      <c r="B233" s="4" t="s">
        <v>333</v>
      </c>
      <c r="C233" s="5">
        <v>351000</v>
      </c>
      <c r="D233" s="18">
        <f>C233-(C233/(1+IVA))</f>
        <v>58500</v>
      </c>
      <c r="E233" s="16" t="str">
        <f t="shared" si="3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2.75" customHeight="1" x14ac:dyDescent="0.2">
      <c r="A234" s="4" t="s">
        <v>339</v>
      </c>
      <c r="B234" s="4" t="s">
        <v>340</v>
      </c>
      <c r="C234" s="5">
        <v>414000</v>
      </c>
      <c r="D234" s="18">
        <f>C234-(C234/(1+IVA))</f>
        <v>69000</v>
      </c>
      <c r="E234" s="16" t="str">
        <f t="shared" si="3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2.75" customHeight="1" x14ac:dyDescent="0.2">
      <c r="A235" s="4" t="s">
        <v>341</v>
      </c>
      <c r="B235" s="4" t="s">
        <v>333</v>
      </c>
      <c r="C235" s="5">
        <v>61000</v>
      </c>
      <c r="D235" s="18">
        <f>C235-(C235/(1+IVA))</f>
        <v>10166.666666666664</v>
      </c>
      <c r="E235" s="16" t="str">
        <f t="shared" si="3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2.75" customHeight="1" x14ac:dyDescent="0.2">
      <c r="A236" s="4" t="s">
        <v>342</v>
      </c>
      <c r="B236" s="4" t="s">
        <v>333</v>
      </c>
      <c r="C236" s="5">
        <v>893000</v>
      </c>
      <c r="D236" s="18">
        <f>C236-(C236/(1+IVA))</f>
        <v>148833.33333333326</v>
      </c>
      <c r="E236" s="16" t="str">
        <f t="shared" si="3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2.75" customHeight="1" x14ac:dyDescent="0.2">
      <c r="A237" s="4" t="s">
        <v>343</v>
      </c>
      <c r="B237" s="4" t="s">
        <v>333</v>
      </c>
      <c r="C237" s="5">
        <v>985000</v>
      </c>
      <c r="D237" s="18">
        <f>C237-(C237/(1+IVA))</f>
        <v>164166.66666666663</v>
      </c>
      <c r="E237" s="16" t="str">
        <f t="shared" si="3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2.75" customHeight="1" x14ac:dyDescent="0.2">
      <c r="A238" s="4" t="s">
        <v>344</v>
      </c>
      <c r="B238" s="4" t="s">
        <v>333</v>
      </c>
      <c r="C238" s="5">
        <v>296000</v>
      </c>
      <c r="D238" s="18">
        <f>C238-(C238/(1+IVA))</f>
        <v>49333.333333333314</v>
      </c>
      <c r="E238" s="16" t="str">
        <f t="shared" si="3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2.75" customHeight="1" x14ac:dyDescent="0.2">
      <c r="A239" s="4" t="s">
        <v>345</v>
      </c>
      <c r="B239" s="4" t="s">
        <v>333</v>
      </c>
      <c r="C239" s="5">
        <v>685000</v>
      </c>
      <c r="D239" s="18">
        <f>C239-(C239/(1+IVA))</f>
        <v>114166.66666666663</v>
      </c>
      <c r="E239" s="16" t="str">
        <f t="shared" si="3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2.75" customHeight="1" x14ac:dyDescent="0.2">
      <c r="A240" s="4" t="s">
        <v>346</v>
      </c>
      <c r="B240" s="4" t="s">
        <v>333</v>
      </c>
      <c r="C240" s="5">
        <v>1138000</v>
      </c>
      <c r="D240" s="18">
        <f>C240-(C240/(1+IVA))</f>
        <v>189666.66666666663</v>
      </c>
      <c r="E240" s="16" t="str">
        <f t="shared" si="3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2.75" customHeight="1" x14ac:dyDescent="0.2">
      <c r="A241" s="4" t="s">
        <v>347</v>
      </c>
      <c r="B241" s="4" t="s">
        <v>333</v>
      </c>
      <c r="C241" s="5">
        <v>1334000</v>
      </c>
      <c r="D241" s="18">
        <f>C241-(C241/(1+IVA))</f>
        <v>222333.33333333326</v>
      </c>
      <c r="E241" s="16" t="str">
        <f t="shared" si="3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2.75" customHeight="1" x14ac:dyDescent="0.2">
      <c r="A242" s="4" t="s">
        <v>348</v>
      </c>
      <c r="B242" s="4" t="s">
        <v>128</v>
      </c>
      <c r="C242" s="5">
        <v>30000</v>
      </c>
      <c r="D242" s="18">
        <f>C242-(C242/(1+IVA))</f>
        <v>5000</v>
      </c>
      <c r="E242" s="16" t="str">
        <f t="shared" si="3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2.75" customHeight="1" x14ac:dyDescent="0.2">
      <c r="A243" s="4" t="s">
        <v>349</v>
      </c>
      <c r="B243" s="4" t="s">
        <v>128</v>
      </c>
      <c r="C243" s="5">
        <v>30000</v>
      </c>
      <c r="D243" s="18">
        <f>C243-(C243/(1+IVA))</f>
        <v>5000</v>
      </c>
      <c r="E243" s="16" t="str">
        <f t="shared" si="3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2.75" customHeight="1" x14ac:dyDescent="0.2">
      <c r="A244" s="4" t="s">
        <v>350</v>
      </c>
      <c r="B244" s="4" t="s">
        <v>351</v>
      </c>
      <c r="C244" s="5">
        <v>406000</v>
      </c>
      <c r="D244" s="18">
        <f>C244-(C244/(1+IVA))</f>
        <v>67666.666666666628</v>
      </c>
      <c r="E244" s="16" t="str">
        <f t="shared" si="3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2.75" customHeight="1" x14ac:dyDescent="0.2">
      <c r="A245" s="4" t="s">
        <v>352</v>
      </c>
      <c r="B245" s="4" t="s">
        <v>351</v>
      </c>
      <c r="C245" s="5">
        <v>197000</v>
      </c>
      <c r="D245" s="18">
        <f>C245-(C245/(1+IVA))</f>
        <v>32833.333333333314</v>
      </c>
      <c r="E245" s="16" t="str">
        <f t="shared" si="3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2.75" customHeight="1" x14ac:dyDescent="0.2">
      <c r="A246" s="4" t="s">
        <v>353</v>
      </c>
      <c r="B246" s="4" t="s">
        <v>351</v>
      </c>
      <c r="C246" s="5">
        <v>645000</v>
      </c>
      <c r="D246" s="18">
        <f>C246-(C246/(1+IVA))</f>
        <v>107500</v>
      </c>
      <c r="E246" s="16" t="str">
        <f t="shared" si="3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2.75" customHeight="1" x14ac:dyDescent="0.2">
      <c r="A247" s="4" t="s">
        <v>354</v>
      </c>
      <c r="B247" s="4" t="s">
        <v>351</v>
      </c>
      <c r="C247" s="5">
        <v>645000</v>
      </c>
      <c r="D247" s="18">
        <f>C247-(C247/(1+IVA))</f>
        <v>107500</v>
      </c>
      <c r="E247" s="16" t="str">
        <f t="shared" si="3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2.75" customHeight="1" x14ac:dyDescent="0.2">
      <c r="A248" s="4" t="s">
        <v>355</v>
      </c>
      <c r="B248" s="4" t="s">
        <v>351</v>
      </c>
      <c r="C248" s="5">
        <v>259000</v>
      </c>
      <c r="D248" s="18">
        <f>C248-(C248/(1+IVA))</f>
        <v>43166.666666666657</v>
      </c>
      <c r="E248" s="16" t="str">
        <f t="shared" si="3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2.75" customHeight="1" x14ac:dyDescent="0.2">
      <c r="A249" s="4" t="s">
        <v>356</v>
      </c>
      <c r="B249" s="4" t="s">
        <v>351</v>
      </c>
      <c r="C249" s="5">
        <v>646000</v>
      </c>
      <c r="D249" s="18">
        <f>C249-(C249/(1+IVA))</f>
        <v>107666.66666666663</v>
      </c>
      <c r="E249" s="16" t="str">
        <f t="shared" si="3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2.75" customHeight="1" x14ac:dyDescent="0.2">
      <c r="A250" s="4" t="s">
        <v>357</v>
      </c>
      <c r="B250" s="4" t="s">
        <v>351</v>
      </c>
      <c r="C250" s="5">
        <v>259000</v>
      </c>
      <c r="D250" s="18">
        <f>C250-(C250/(1+IVA))</f>
        <v>43166.666666666657</v>
      </c>
      <c r="E250" s="16" t="str">
        <f t="shared" si="3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2.75" customHeight="1" x14ac:dyDescent="0.2">
      <c r="A251" s="4" t="s">
        <v>358</v>
      </c>
      <c r="B251" s="4" t="s">
        <v>351</v>
      </c>
      <c r="C251" s="5">
        <v>645000</v>
      </c>
      <c r="D251" s="18">
        <f>C251-(C251/(1+IVA))</f>
        <v>107500</v>
      </c>
      <c r="E251" s="16" t="str">
        <f t="shared" si="3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2.75" customHeight="1" x14ac:dyDescent="0.2">
      <c r="A252" s="4" t="s">
        <v>359</v>
      </c>
      <c r="B252" s="4" t="s">
        <v>351</v>
      </c>
      <c r="C252" s="5">
        <v>879000</v>
      </c>
      <c r="D252" s="18">
        <f>C252-(C252/(1+IVA))</f>
        <v>146500</v>
      </c>
      <c r="E252" s="16" t="str">
        <f t="shared" si="3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2.75" customHeight="1" x14ac:dyDescent="0.2">
      <c r="A253" s="4" t="s">
        <v>360</v>
      </c>
      <c r="B253" s="4" t="s">
        <v>351</v>
      </c>
      <c r="C253" s="5">
        <v>259000</v>
      </c>
      <c r="D253" s="18">
        <f>C253-(C253/(1+IVA))</f>
        <v>43166.666666666657</v>
      </c>
      <c r="E253" s="16" t="str">
        <f t="shared" si="3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2.75" customHeight="1" x14ac:dyDescent="0.2">
      <c r="A254" s="4" t="s">
        <v>361</v>
      </c>
      <c r="B254" s="4" t="s">
        <v>351</v>
      </c>
      <c r="C254" s="5">
        <v>274000</v>
      </c>
      <c r="D254" s="18">
        <f>C254-(C254/(1+IVA))</f>
        <v>45666.666666666657</v>
      </c>
      <c r="E254" s="16" t="str">
        <f t="shared" si="3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2.75" customHeight="1" x14ac:dyDescent="0.2">
      <c r="A255" s="4" t="s">
        <v>362</v>
      </c>
      <c r="B255" s="4" t="s">
        <v>351</v>
      </c>
      <c r="C255" s="5">
        <v>975000</v>
      </c>
      <c r="D255" s="18">
        <f>C255-(C255/(1+IVA))</f>
        <v>162500</v>
      </c>
      <c r="E255" s="16" t="str">
        <f t="shared" si="3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2.75" customHeight="1" x14ac:dyDescent="0.2">
      <c r="A256" s="4" t="s">
        <v>363</v>
      </c>
      <c r="B256" s="4" t="s">
        <v>351</v>
      </c>
      <c r="C256" s="5">
        <v>480000</v>
      </c>
      <c r="D256" s="18">
        <f>C256-(C256/(1+IVA))</f>
        <v>80000</v>
      </c>
      <c r="E256" s="16" t="str">
        <f t="shared" si="3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2.75" customHeight="1" x14ac:dyDescent="0.2">
      <c r="A257" s="4" t="s">
        <v>364</v>
      </c>
      <c r="B257" s="4" t="s">
        <v>351</v>
      </c>
      <c r="C257" s="5">
        <v>1187000</v>
      </c>
      <c r="D257" s="18">
        <f>C257-(C257/(1+IVA))</f>
        <v>197833.33333333326</v>
      </c>
      <c r="E257" s="16" t="str">
        <f t="shared" si="3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2.75" customHeight="1" x14ac:dyDescent="0.2">
      <c r="A258" s="4" t="s">
        <v>365</v>
      </c>
      <c r="B258" s="4" t="s">
        <v>351</v>
      </c>
      <c r="C258" s="5">
        <v>832000</v>
      </c>
      <c r="D258" s="18">
        <f>C258-(C258/(1+IVA))</f>
        <v>138666.66666666663</v>
      </c>
      <c r="E258" s="16" t="str">
        <f t="shared" si="3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2.75" customHeight="1" x14ac:dyDescent="0.2">
      <c r="A259" s="4" t="s">
        <v>366</v>
      </c>
      <c r="B259" s="4" t="s">
        <v>351</v>
      </c>
      <c r="C259" s="5">
        <v>227000</v>
      </c>
      <c r="D259" s="18">
        <f>C259-(C259/(1+IVA))</f>
        <v>37833.333333333314</v>
      </c>
      <c r="E259" s="16" t="str">
        <f t="shared" ref="E259:E322" si="4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2.75" customHeight="1" x14ac:dyDescent="0.2">
      <c r="A260" s="4" t="s">
        <v>367</v>
      </c>
      <c r="B260" s="4" t="s">
        <v>351</v>
      </c>
      <c r="C260" s="5">
        <v>98000</v>
      </c>
      <c r="D260" s="18">
        <f>C260-(C260/(1+IVA))</f>
        <v>16333.333333333328</v>
      </c>
      <c r="E260" s="16" t="str">
        <f t="shared" si="4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2.75" customHeight="1" x14ac:dyDescent="0.2">
      <c r="A261" s="4" t="s">
        <v>368</v>
      </c>
      <c r="B261" s="4" t="s">
        <v>351</v>
      </c>
      <c r="C261" s="5">
        <v>1190000</v>
      </c>
      <c r="D261" s="18">
        <f>C261-(C261/(1+IVA))</f>
        <v>198333.33333333326</v>
      </c>
      <c r="E261" s="16" t="str">
        <f t="shared" si="4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2.75" customHeight="1" x14ac:dyDescent="0.2">
      <c r="A262" s="4" t="s">
        <v>369</v>
      </c>
      <c r="B262" s="4" t="s">
        <v>351</v>
      </c>
      <c r="C262" s="5">
        <v>300000</v>
      </c>
      <c r="D262" s="18">
        <f>C262-(C262/(1+IVA))</f>
        <v>50000</v>
      </c>
      <c r="E262" s="16" t="str">
        <f t="shared" si="4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2.75" customHeight="1" x14ac:dyDescent="0.2">
      <c r="A263" s="4" t="s">
        <v>370</v>
      </c>
      <c r="B263" s="4" t="s">
        <v>351</v>
      </c>
      <c r="C263" s="5">
        <v>2407000</v>
      </c>
      <c r="D263" s="18">
        <f>C263-(C263/(1+IVA))</f>
        <v>401166.66666666651</v>
      </c>
      <c r="E263" s="16" t="str">
        <f t="shared" si="4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2.75" customHeight="1" x14ac:dyDescent="0.2">
      <c r="A264" s="4" t="s">
        <v>371</v>
      </c>
      <c r="B264" s="4" t="s">
        <v>351</v>
      </c>
      <c r="C264" s="5">
        <v>1021000</v>
      </c>
      <c r="D264" s="18">
        <f>C264-(C264/(1+IVA))</f>
        <v>170166.66666666663</v>
      </c>
      <c r="E264" s="16" t="str">
        <f t="shared" si="4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2.75" customHeight="1" x14ac:dyDescent="0.2">
      <c r="A265" s="4" t="s">
        <v>372</v>
      </c>
      <c r="B265" s="4" t="s">
        <v>351</v>
      </c>
      <c r="C265" s="5">
        <v>646000</v>
      </c>
      <c r="D265" s="18">
        <f>C265-(C265/(1+IVA))</f>
        <v>107666.66666666663</v>
      </c>
      <c r="E265" s="16" t="str">
        <f t="shared" si="4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2.75" customHeight="1" x14ac:dyDescent="0.2">
      <c r="A266" s="4" t="s">
        <v>373</v>
      </c>
      <c r="B266" s="4" t="s">
        <v>351</v>
      </c>
      <c r="C266" s="5">
        <v>259000</v>
      </c>
      <c r="D266" s="18">
        <f>C266-(C266/(1+IVA))</f>
        <v>43166.666666666657</v>
      </c>
      <c r="E266" s="16" t="str">
        <f t="shared" si="4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2.75" customHeight="1" x14ac:dyDescent="0.2">
      <c r="A267" s="4" t="s">
        <v>374</v>
      </c>
      <c r="B267" s="4" t="s">
        <v>351</v>
      </c>
      <c r="C267" s="5">
        <v>193000</v>
      </c>
      <c r="D267" s="18">
        <f>C267-(C267/(1+IVA))</f>
        <v>32166.666666666657</v>
      </c>
      <c r="E267" s="16" t="str">
        <f t="shared" si="4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2.75" customHeight="1" x14ac:dyDescent="0.2">
      <c r="A268" s="4" t="s">
        <v>375</v>
      </c>
      <c r="B268" s="4" t="s">
        <v>351</v>
      </c>
      <c r="C268" s="5">
        <v>96000</v>
      </c>
      <c r="D268" s="18">
        <f>C268-(C268/(1+IVA))</f>
        <v>16000</v>
      </c>
      <c r="E268" s="16" t="str">
        <f t="shared" si="4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2.75" customHeight="1" x14ac:dyDescent="0.2">
      <c r="A269" s="4" t="s">
        <v>376</v>
      </c>
      <c r="B269" s="4" t="s">
        <v>351</v>
      </c>
      <c r="C269" s="5">
        <v>594000</v>
      </c>
      <c r="D269" s="18">
        <f>C269-(C269/(1+IVA))</f>
        <v>99000</v>
      </c>
      <c r="E269" s="16" t="str">
        <f t="shared" si="4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2.75" customHeight="1" x14ac:dyDescent="0.2">
      <c r="A270" s="4" t="s">
        <v>377</v>
      </c>
      <c r="B270" s="4" t="s">
        <v>351</v>
      </c>
      <c r="C270" s="5">
        <v>282000</v>
      </c>
      <c r="D270" s="18">
        <f>C270-(C270/(1+IVA))</f>
        <v>47000</v>
      </c>
      <c r="E270" s="16" t="str">
        <f t="shared" si="4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2.75" customHeight="1" x14ac:dyDescent="0.2">
      <c r="A271" s="4" t="s">
        <v>378</v>
      </c>
      <c r="B271" s="4" t="s">
        <v>351</v>
      </c>
      <c r="C271" s="5">
        <v>1814000</v>
      </c>
      <c r="D271" s="18">
        <f>C271-(C271/(1+IVA))</f>
        <v>302333.33333333326</v>
      </c>
      <c r="E271" s="16" t="str">
        <f t="shared" si="4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2.75" customHeight="1" x14ac:dyDescent="0.2">
      <c r="A272" s="4" t="s">
        <v>379</v>
      </c>
      <c r="B272" s="4" t="s">
        <v>351</v>
      </c>
      <c r="C272" s="5">
        <v>193000</v>
      </c>
      <c r="D272" s="18">
        <f>C272-(C272/(1+IVA))</f>
        <v>32166.666666666657</v>
      </c>
      <c r="E272" s="16" t="str">
        <f t="shared" si="4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2.75" customHeight="1" x14ac:dyDescent="0.2">
      <c r="A273" s="4" t="s">
        <v>380</v>
      </c>
      <c r="B273" s="4" t="s">
        <v>351</v>
      </c>
      <c r="C273" s="5">
        <v>654000</v>
      </c>
      <c r="D273" s="18">
        <f>C273-(C273/(1+IVA))</f>
        <v>109000</v>
      </c>
      <c r="E273" s="16" t="str">
        <f t="shared" si="4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2.75" customHeight="1" x14ac:dyDescent="0.2">
      <c r="A274" s="4" t="s">
        <v>381</v>
      </c>
      <c r="B274" s="4" t="s">
        <v>351</v>
      </c>
      <c r="C274" s="5">
        <v>729000</v>
      </c>
      <c r="D274" s="18">
        <f>C274-(C274/(1+IVA))</f>
        <v>121500</v>
      </c>
      <c r="E274" s="16" t="str">
        <f t="shared" si="4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2.75" customHeight="1" x14ac:dyDescent="0.2">
      <c r="A275" s="4" t="s">
        <v>382</v>
      </c>
      <c r="B275" s="4" t="s">
        <v>351</v>
      </c>
      <c r="C275" s="5">
        <v>632000</v>
      </c>
      <c r="D275" s="18">
        <f>C275-(C275/(1+IVA))</f>
        <v>105333.33333333326</v>
      </c>
      <c r="E275" s="16" t="str">
        <f t="shared" si="4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2.75" customHeight="1" x14ac:dyDescent="0.2">
      <c r="A276" s="4" t="s">
        <v>383</v>
      </c>
      <c r="B276" s="4" t="s">
        <v>351</v>
      </c>
      <c r="C276" s="5">
        <v>240000</v>
      </c>
      <c r="D276" s="18">
        <f>C276-(C276/(1+IVA))</f>
        <v>40000</v>
      </c>
      <c r="E276" s="16" t="str">
        <f t="shared" si="4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2.75" customHeight="1" x14ac:dyDescent="0.2">
      <c r="A277" s="4" t="s">
        <v>384</v>
      </c>
      <c r="B277" s="4" t="s">
        <v>385</v>
      </c>
      <c r="C277" s="5">
        <v>955000</v>
      </c>
      <c r="D277" s="18">
        <f>C277-(C277/(1+IVA))</f>
        <v>159166.66666666663</v>
      </c>
      <c r="E277" s="16" t="str">
        <f t="shared" si="4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2.75" customHeight="1" x14ac:dyDescent="0.2">
      <c r="A278" s="4" t="s">
        <v>386</v>
      </c>
      <c r="B278" s="4" t="s">
        <v>385</v>
      </c>
      <c r="C278" s="5">
        <v>1126000</v>
      </c>
      <c r="D278" s="18">
        <f>C278-(C278/(1+IVA))</f>
        <v>187666.66666666663</v>
      </c>
      <c r="E278" s="16" t="str">
        <f t="shared" si="4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2.75" customHeight="1" x14ac:dyDescent="0.2">
      <c r="A279" s="4" t="s">
        <v>387</v>
      </c>
      <c r="B279" s="4"/>
      <c r="C279" s="5"/>
      <c r="D279" s="18">
        <f>C279-(C279/(1+IVA))</f>
        <v>0</v>
      </c>
      <c r="E279" s="16" t="str">
        <f t="shared" si="4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2.75" customHeight="1" x14ac:dyDescent="0.2">
      <c r="A280" s="4" t="s">
        <v>388</v>
      </c>
      <c r="B280" s="4" t="s">
        <v>389</v>
      </c>
      <c r="C280" s="5">
        <v>297000</v>
      </c>
      <c r="D280" s="18">
        <f>C280-(C280/(1+IVA))</f>
        <v>49500</v>
      </c>
      <c r="E280" s="16" t="str">
        <f t="shared" si="4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2.75" customHeight="1" x14ac:dyDescent="0.2">
      <c r="A281" s="4" t="s">
        <v>390</v>
      </c>
      <c r="B281" s="4" t="s">
        <v>391</v>
      </c>
      <c r="C281" s="5">
        <v>646000</v>
      </c>
      <c r="D281" s="18">
        <f>C281-(C281/(1+IVA))</f>
        <v>107666.66666666663</v>
      </c>
      <c r="E281" s="16" t="str">
        <f t="shared" si="4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2.75" customHeight="1" x14ac:dyDescent="0.2">
      <c r="A282" s="4" t="s">
        <v>392</v>
      </c>
      <c r="B282" s="4" t="s">
        <v>393</v>
      </c>
      <c r="C282" s="5">
        <v>714000</v>
      </c>
      <c r="D282" s="18">
        <f>C282-(C282/(1+IVA))</f>
        <v>119000</v>
      </c>
      <c r="E282" s="16" t="str">
        <f t="shared" si="4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2.75" customHeight="1" x14ac:dyDescent="0.2">
      <c r="A283" s="4" t="s">
        <v>394</v>
      </c>
      <c r="B283" s="4" t="s">
        <v>395</v>
      </c>
      <c r="C283" s="5">
        <v>807000</v>
      </c>
      <c r="D283" s="18">
        <f>C283-(C283/(1+IVA))</f>
        <v>134500</v>
      </c>
      <c r="E283" s="16" t="str">
        <f t="shared" si="4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2.75" customHeight="1" x14ac:dyDescent="0.2">
      <c r="A284" s="4" t="s">
        <v>396</v>
      </c>
      <c r="B284" s="4" t="s">
        <v>397</v>
      </c>
      <c r="C284" s="5">
        <v>591000</v>
      </c>
      <c r="D284" s="18">
        <f>C284-(C284/(1+IVA))</f>
        <v>98500</v>
      </c>
      <c r="E284" s="16" t="str">
        <f t="shared" si="4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2.75" customHeight="1" x14ac:dyDescent="0.2">
      <c r="A285" s="4" t="s">
        <v>398</v>
      </c>
      <c r="B285" s="4" t="s">
        <v>399</v>
      </c>
      <c r="C285" s="5">
        <v>918000</v>
      </c>
      <c r="D285" s="18">
        <f>C285-(C285/(1+IVA))</f>
        <v>153000</v>
      </c>
      <c r="E285" s="16" t="str">
        <f t="shared" si="4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2.75" customHeight="1" x14ac:dyDescent="0.2">
      <c r="A286" s="4" t="s">
        <v>400</v>
      </c>
      <c r="B286" s="4" t="s">
        <v>401</v>
      </c>
      <c r="C286" s="5">
        <v>1265000</v>
      </c>
      <c r="D286" s="18">
        <f>C286-(C286/(1+IVA))</f>
        <v>210833.33333333326</v>
      </c>
      <c r="E286" s="16" t="str">
        <f t="shared" si="4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2.75" customHeight="1" x14ac:dyDescent="0.2">
      <c r="A287" s="4" t="s">
        <v>402</v>
      </c>
      <c r="B287" s="4" t="s">
        <v>403</v>
      </c>
      <c r="C287" s="5">
        <v>256000</v>
      </c>
      <c r="D287" s="18">
        <f>C287-(C287/(1+IVA))</f>
        <v>42666.666666666657</v>
      </c>
      <c r="E287" s="16" t="str">
        <f t="shared" si="4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2.75" customHeight="1" x14ac:dyDescent="0.2">
      <c r="A288" s="4" t="s">
        <v>404</v>
      </c>
      <c r="B288" s="4" t="s">
        <v>405</v>
      </c>
      <c r="C288" s="5">
        <v>371000</v>
      </c>
      <c r="D288" s="18">
        <f>C288-(C288/(1+IVA))</f>
        <v>61833.333333333314</v>
      </c>
      <c r="E288" s="16" t="str">
        <f t="shared" si="4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2.75" customHeight="1" x14ac:dyDescent="0.2">
      <c r="A289" s="4" t="s">
        <v>406</v>
      </c>
      <c r="B289" s="4" t="s">
        <v>407</v>
      </c>
      <c r="C289" s="5">
        <v>457000</v>
      </c>
      <c r="D289" s="18">
        <f>C289-(C289/(1+IVA))</f>
        <v>76166.666666666628</v>
      </c>
      <c r="E289" s="16" t="str">
        <f t="shared" si="4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2.75" customHeight="1" x14ac:dyDescent="0.2">
      <c r="A290" s="4" t="s">
        <v>408</v>
      </c>
      <c r="B290" s="4" t="s">
        <v>409</v>
      </c>
      <c r="C290" s="5">
        <v>642000</v>
      </c>
      <c r="D290" s="18">
        <f>C290-(C290/(1+IVA))</f>
        <v>107000</v>
      </c>
      <c r="E290" s="16" t="str">
        <f t="shared" si="4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2.75" customHeight="1" x14ac:dyDescent="0.2">
      <c r="A291" s="4" t="s">
        <v>410</v>
      </c>
      <c r="B291" s="4" t="s">
        <v>411</v>
      </c>
      <c r="C291" s="5">
        <v>1571000</v>
      </c>
      <c r="D291" s="18">
        <f>C291-(C291/(1+IVA))</f>
        <v>261833.33333333326</v>
      </c>
      <c r="E291" s="16" t="str">
        <f t="shared" si="4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2.75" customHeight="1" x14ac:dyDescent="0.2">
      <c r="A292" s="4" t="s">
        <v>412</v>
      </c>
      <c r="B292" s="4" t="s">
        <v>413</v>
      </c>
      <c r="C292" s="5">
        <v>756000</v>
      </c>
      <c r="D292" s="18">
        <f>C292-(C292/(1+IVA))</f>
        <v>126000</v>
      </c>
      <c r="E292" s="16" t="str">
        <f t="shared" si="4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2.75" customHeight="1" x14ac:dyDescent="0.2">
      <c r="A293" s="4" t="s">
        <v>414</v>
      </c>
      <c r="B293" s="4" t="s">
        <v>415</v>
      </c>
      <c r="C293" s="5">
        <v>1571000</v>
      </c>
      <c r="D293" s="18">
        <f>C293-(C293/(1+IVA))</f>
        <v>261833.33333333326</v>
      </c>
      <c r="E293" s="16" t="str">
        <f t="shared" si="4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2.75" customHeight="1" x14ac:dyDescent="0.2">
      <c r="A294" s="4" t="s">
        <v>416</v>
      </c>
      <c r="B294" s="4" t="s">
        <v>417</v>
      </c>
      <c r="C294" s="5">
        <v>2716000</v>
      </c>
      <c r="D294" s="18">
        <f>C294-(C294/(1+IVA))</f>
        <v>452666.66666666651</v>
      </c>
      <c r="E294" s="16" t="str">
        <f t="shared" si="4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2.75" customHeight="1" x14ac:dyDescent="0.2">
      <c r="A295" s="4" t="s">
        <v>418</v>
      </c>
      <c r="B295" s="4" t="s">
        <v>419</v>
      </c>
      <c r="C295" s="5">
        <v>640000</v>
      </c>
      <c r="D295" s="18">
        <f>C295-(C295/(1+IVA))</f>
        <v>106666.66666666663</v>
      </c>
      <c r="E295" s="16" t="str">
        <f t="shared" si="4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2.75" customHeight="1" x14ac:dyDescent="0.2">
      <c r="A296" s="4" t="s">
        <v>420</v>
      </c>
      <c r="B296" s="4" t="s">
        <v>421</v>
      </c>
      <c r="C296" s="5">
        <v>255000</v>
      </c>
      <c r="D296" s="18">
        <f>C296-(C296/(1+IVA))</f>
        <v>42500</v>
      </c>
      <c r="E296" s="16" t="str">
        <f t="shared" si="4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2.75" customHeight="1" x14ac:dyDescent="0.2">
      <c r="A297" s="4" t="s">
        <v>422</v>
      </c>
      <c r="B297" s="4" t="s">
        <v>423</v>
      </c>
      <c r="C297" s="5">
        <v>413000</v>
      </c>
      <c r="D297" s="18">
        <f>C297-(C297/(1+IVA))</f>
        <v>68833.333333333314</v>
      </c>
      <c r="E297" s="16" t="str">
        <f t="shared" si="4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2.75" customHeight="1" x14ac:dyDescent="0.2">
      <c r="A298" s="4" t="s">
        <v>424</v>
      </c>
      <c r="B298" s="4" t="s">
        <v>425</v>
      </c>
      <c r="C298" s="5">
        <v>361000</v>
      </c>
      <c r="D298" s="18">
        <f>C298-(C298/(1+IVA))</f>
        <v>60166.666666666628</v>
      </c>
      <c r="E298" s="16" t="str">
        <f t="shared" si="4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2.75" customHeight="1" x14ac:dyDescent="0.2">
      <c r="A299" s="4" t="s">
        <v>426</v>
      </c>
      <c r="B299" s="4" t="s">
        <v>427</v>
      </c>
      <c r="C299" s="5">
        <v>544000</v>
      </c>
      <c r="D299" s="18">
        <f>C299-(C299/(1+IVA))</f>
        <v>90666.666666666628</v>
      </c>
      <c r="E299" s="16" t="str">
        <f t="shared" si="4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2.75" customHeight="1" x14ac:dyDescent="0.2">
      <c r="A300" s="4" t="s">
        <v>428</v>
      </c>
      <c r="B300" s="4" t="s">
        <v>429</v>
      </c>
      <c r="C300" s="5">
        <v>678000</v>
      </c>
      <c r="D300" s="18">
        <f>C300-(C300/(1+IVA))</f>
        <v>113000</v>
      </c>
      <c r="E300" s="16" t="str">
        <f t="shared" si="4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2.75" customHeight="1" x14ac:dyDescent="0.2">
      <c r="A301" s="4" t="s">
        <v>430</v>
      </c>
      <c r="B301" s="4" t="s">
        <v>431</v>
      </c>
      <c r="C301" s="5">
        <v>1054000</v>
      </c>
      <c r="D301" s="18">
        <f>C301-(C301/(1+IVA))</f>
        <v>175666.66666666663</v>
      </c>
      <c r="E301" s="16" t="str">
        <f t="shared" si="4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2.75" customHeight="1" x14ac:dyDescent="0.2">
      <c r="A302" s="4" t="s">
        <v>432</v>
      </c>
      <c r="B302" s="4" t="s">
        <v>433</v>
      </c>
      <c r="C302" s="5">
        <v>482000</v>
      </c>
      <c r="D302" s="18">
        <f>C302-(C302/(1+IVA))</f>
        <v>80333.333333333314</v>
      </c>
      <c r="E302" s="16" t="str">
        <f t="shared" si="4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2.75" customHeight="1" x14ac:dyDescent="0.2">
      <c r="A303" s="4" t="s">
        <v>434</v>
      </c>
      <c r="B303" s="4" t="s">
        <v>435</v>
      </c>
      <c r="C303" s="5">
        <v>722000</v>
      </c>
      <c r="D303" s="18">
        <f>C303-(C303/(1+IVA))</f>
        <v>120333.33333333326</v>
      </c>
      <c r="E303" s="16" t="str">
        <f t="shared" si="4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2.75" customHeight="1" x14ac:dyDescent="0.2">
      <c r="A304" s="4" t="s">
        <v>436</v>
      </c>
      <c r="B304" s="4" t="s">
        <v>437</v>
      </c>
      <c r="C304" s="5">
        <v>269000</v>
      </c>
      <c r="D304" s="18">
        <f>C304-(C304/(1+IVA))</f>
        <v>44833.333333333314</v>
      </c>
      <c r="E304" s="16" t="str">
        <f t="shared" si="4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2.75" customHeight="1" x14ac:dyDescent="0.2">
      <c r="A305" s="4" t="s">
        <v>438</v>
      </c>
      <c r="B305" s="4" t="s">
        <v>437</v>
      </c>
      <c r="C305" s="5">
        <v>371000</v>
      </c>
      <c r="D305" s="18">
        <f>C305-(C305/(1+IVA))</f>
        <v>61833.333333333314</v>
      </c>
      <c r="E305" s="16" t="str">
        <f t="shared" si="4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2.75" customHeight="1" x14ac:dyDescent="0.2">
      <c r="A306" s="4" t="s">
        <v>439</v>
      </c>
      <c r="B306" s="4" t="s">
        <v>440</v>
      </c>
      <c r="C306" s="5">
        <v>462000</v>
      </c>
      <c r="D306" s="18">
        <f>C306-(C306/(1+IVA))</f>
        <v>77000</v>
      </c>
      <c r="E306" s="16" t="str">
        <f t="shared" si="4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2.75" customHeight="1" x14ac:dyDescent="0.2">
      <c r="A307" s="4" t="s">
        <v>441</v>
      </c>
      <c r="B307" s="4" t="s">
        <v>442</v>
      </c>
      <c r="C307" s="5">
        <v>541000</v>
      </c>
      <c r="D307" s="18">
        <f>C307-(C307/(1+IVA))</f>
        <v>90166.666666666628</v>
      </c>
      <c r="E307" s="16" t="str">
        <f t="shared" si="4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2.75" customHeight="1" x14ac:dyDescent="0.2">
      <c r="A308" s="4" t="s">
        <v>443</v>
      </c>
      <c r="B308" s="4" t="s">
        <v>444</v>
      </c>
      <c r="C308" s="5">
        <v>648000</v>
      </c>
      <c r="D308" s="18">
        <f>C308-(C308/(1+IVA))</f>
        <v>108000</v>
      </c>
      <c r="E308" s="16" t="str">
        <f t="shared" si="4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2.75" customHeight="1" x14ac:dyDescent="0.2">
      <c r="A309" s="4" t="s">
        <v>445</v>
      </c>
      <c r="B309" s="4" t="s">
        <v>446</v>
      </c>
      <c r="C309" s="5">
        <v>644000</v>
      </c>
      <c r="D309" s="18">
        <f>C309-(C309/(1+IVA))</f>
        <v>107333.33333333326</v>
      </c>
      <c r="E309" s="16" t="str">
        <f t="shared" si="4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2.75" customHeight="1" x14ac:dyDescent="0.2">
      <c r="A310" s="4" t="s">
        <v>447</v>
      </c>
      <c r="B310" s="4" t="s">
        <v>448</v>
      </c>
      <c r="C310" s="5">
        <v>902000</v>
      </c>
      <c r="D310" s="18">
        <f>C310-(C310/(1+IVA))</f>
        <v>150333.33333333326</v>
      </c>
      <c r="E310" s="16" t="str">
        <f t="shared" si="4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2.75" customHeight="1" x14ac:dyDescent="0.2">
      <c r="A311" s="4" t="s">
        <v>449</v>
      </c>
      <c r="B311" s="4" t="s">
        <v>450</v>
      </c>
      <c r="C311" s="5">
        <v>722000</v>
      </c>
      <c r="D311" s="18">
        <f>C311-(C311/(1+IVA))</f>
        <v>120333.33333333326</v>
      </c>
      <c r="E311" s="16" t="str">
        <f t="shared" si="4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2.75" customHeight="1" x14ac:dyDescent="0.2">
      <c r="A312" s="4" t="s">
        <v>451</v>
      </c>
      <c r="B312" s="4" t="s">
        <v>450</v>
      </c>
      <c r="C312" s="5">
        <v>1457000</v>
      </c>
      <c r="D312" s="18">
        <f>C312-(C312/(1+IVA))</f>
        <v>242833.33333333326</v>
      </c>
      <c r="E312" s="16" t="str">
        <f t="shared" si="4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2.75" customHeight="1" x14ac:dyDescent="0.2">
      <c r="A313" s="4" t="s">
        <v>452</v>
      </c>
      <c r="B313" s="4" t="s">
        <v>453</v>
      </c>
      <c r="C313" s="5">
        <v>1786000</v>
      </c>
      <c r="D313" s="18">
        <f>C313-(C313/(1+IVA))</f>
        <v>297666.66666666651</v>
      </c>
      <c r="E313" s="16" t="str">
        <f t="shared" si="4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2.75" customHeight="1" x14ac:dyDescent="0.2">
      <c r="A314" s="4" t="s">
        <v>454</v>
      </c>
      <c r="B314" s="4"/>
      <c r="C314" s="5"/>
      <c r="D314" s="18">
        <f>C314-(C314/(1+IVA))</f>
        <v>0</v>
      </c>
      <c r="E314" s="16" t="str">
        <f t="shared" si="4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2.75" customHeight="1" x14ac:dyDescent="0.2">
      <c r="A315" s="4" t="s">
        <v>455</v>
      </c>
      <c r="B315" s="4" t="s">
        <v>456</v>
      </c>
      <c r="C315" s="5">
        <v>85000</v>
      </c>
      <c r="D315" s="18">
        <f>C315-(C315/(1+IVA))</f>
        <v>14166.666666666657</v>
      </c>
      <c r="E315" s="16" t="str">
        <f t="shared" si="4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2.75" customHeight="1" x14ac:dyDescent="0.2">
      <c r="A316" s="4" t="s">
        <v>457</v>
      </c>
      <c r="B316" s="4" t="s">
        <v>456</v>
      </c>
      <c r="C316" s="5">
        <v>84000</v>
      </c>
      <c r="D316" s="18">
        <f>C316-(C316/(1+IVA))</f>
        <v>14000</v>
      </c>
      <c r="E316" s="16" t="str">
        <f t="shared" si="4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2.75" customHeight="1" x14ac:dyDescent="0.2">
      <c r="A317" s="4" t="s">
        <v>458</v>
      </c>
      <c r="B317" s="4" t="s">
        <v>459</v>
      </c>
      <c r="C317" s="5">
        <v>115000</v>
      </c>
      <c r="D317" s="18">
        <f>C317-(C317/(1+IVA))</f>
        <v>19166.666666666657</v>
      </c>
      <c r="E317" s="16" t="str">
        <f t="shared" si="4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2.75" customHeight="1" x14ac:dyDescent="0.2">
      <c r="A318" s="4" t="s">
        <v>460</v>
      </c>
      <c r="B318" s="4" t="s">
        <v>459</v>
      </c>
      <c r="C318" s="5">
        <v>152000</v>
      </c>
      <c r="D318" s="18">
        <f>C318-(C318/(1+IVA))</f>
        <v>25333.333333333328</v>
      </c>
      <c r="E318" s="16" t="str">
        <f t="shared" si="4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2.75" customHeight="1" x14ac:dyDescent="0.2">
      <c r="A319" s="4" t="s">
        <v>461</v>
      </c>
      <c r="B319" s="4" t="s">
        <v>456</v>
      </c>
      <c r="C319" s="5">
        <v>82000</v>
      </c>
      <c r="D319" s="18">
        <f>C319-(C319/(1+IVA))</f>
        <v>13666.666666666657</v>
      </c>
      <c r="E319" s="16" t="str">
        <f t="shared" si="4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2.75" customHeight="1" x14ac:dyDescent="0.2">
      <c r="A320" s="4" t="s">
        <v>462</v>
      </c>
      <c r="B320" s="4" t="s">
        <v>456</v>
      </c>
      <c r="C320" s="5">
        <v>84000</v>
      </c>
      <c r="D320" s="18">
        <f>C320-(C320/(1+IVA))</f>
        <v>14000</v>
      </c>
      <c r="E320" s="16" t="str">
        <f t="shared" si="4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2.75" customHeight="1" x14ac:dyDescent="0.2">
      <c r="A321" s="4" t="s">
        <v>463</v>
      </c>
      <c r="B321" s="4" t="s">
        <v>464</v>
      </c>
      <c r="C321" s="5">
        <v>115000</v>
      </c>
      <c r="D321" s="18">
        <f>C321-(C321/(1+IVA))</f>
        <v>19166.666666666657</v>
      </c>
      <c r="E321" s="16" t="str">
        <f t="shared" si="4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2.75" customHeight="1" x14ac:dyDescent="0.2">
      <c r="A322" s="4" t="s">
        <v>465</v>
      </c>
      <c r="B322" s="4" t="s">
        <v>464</v>
      </c>
      <c r="C322" s="5">
        <v>153000</v>
      </c>
      <c r="D322" s="18">
        <f>C322-(C322/(1+IVA))</f>
        <v>25500</v>
      </c>
      <c r="E322" s="16" t="str">
        <f t="shared" si="4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2.75" customHeight="1" x14ac:dyDescent="0.2">
      <c r="A323" s="4" t="s">
        <v>466</v>
      </c>
      <c r="B323" s="4" t="s">
        <v>464</v>
      </c>
      <c r="C323" s="5">
        <v>80000</v>
      </c>
      <c r="D323" s="18">
        <f>C323-(C323/(1+IVA))</f>
        <v>13333.333333333328</v>
      </c>
      <c r="E323" s="16" t="str">
        <f t="shared" ref="E323:E337" si="5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2.75" customHeight="1" x14ac:dyDescent="0.2">
      <c r="A324" s="4" t="s">
        <v>467</v>
      </c>
      <c r="B324" s="4" t="s">
        <v>464</v>
      </c>
      <c r="C324" s="5">
        <v>102000</v>
      </c>
      <c r="D324" s="18">
        <f>C324-(C324/(1+IVA))</f>
        <v>17000</v>
      </c>
      <c r="E324" s="16" t="str">
        <f t="shared" si="5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2.75" customHeight="1" x14ac:dyDescent="0.2">
      <c r="A325" s="4" t="s">
        <v>468</v>
      </c>
      <c r="B325" s="4"/>
      <c r="C325" s="5"/>
      <c r="D325" s="18">
        <f>C325-(C325/(1+IVA))</f>
        <v>0</v>
      </c>
      <c r="E325" s="16" t="str">
        <f t="shared" si="5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2.75" customHeight="1" x14ac:dyDescent="0.2">
      <c r="A326" s="4" t="s">
        <v>469</v>
      </c>
      <c r="B326" s="4" t="s">
        <v>470</v>
      </c>
      <c r="C326" s="5">
        <v>198000</v>
      </c>
      <c r="D326" s="18">
        <f>C326-(C326/(1+IVA))</f>
        <v>33000</v>
      </c>
      <c r="E326" s="16" t="str">
        <f t="shared" si="5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2.75" customHeight="1" x14ac:dyDescent="0.2">
      <c r="A327" s="4" t="s">
        <v>471</v>
      </c>
      <c r="B327" s="4" t="s">
        <v>470</v>
      </c>
      <c r="C327" s="5">
        <v>233000</v>
      </c>
      <c r="D327" s="18">
        <f>C327-(C327/(1+IVA))</f>
        <v>38833.333333333314</v>
      </c>
      <c r="E327" s="16" t="str">
        <f t="shared" si="5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2.75" customHeight="1" x14ac:dyDescent="0.2">
      <c r="A328" s="4" t="s">
        <v>472</v>
      </c>
      <c r="B328" s="4" t="s">
        <v>470</v>
      </c>
      <c r="C328" s="5">
        <v>279000</v>
      </c>
      <c r="D328" s="18">
        <f>C328-(C328/(1+IVA))</f>
        <v>46500</v>
      </c>
      <c r="E328" s="16" t="str">
        <f t="shared" si="5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2.75" customHeight="1" x14ac:dyDescent="0.2">
      <c r="A329" s="4" t="s">
        <v>473</v>
      </c>
      <c r="B329" s="4" t="s">
        <v>474</v>
      </c>
      <c r="C329" s="5">
        <v>298000</v>
      </c>
      <c r="D329" s="18">
        <f>C329-(C329/(1+IVA))</f>
        <v>49666.666666666657</v>
      </c>
      <c r="E329" s="16" t="str">
        <f t="shared" si="5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2.75" customHeight="1" x14ac:dyDescent="0.2">
      <c r="A330" s="4" t="s">
        <v>475</v>
      </c>
      <c r="B330" s="4" t="s">
        <v>474</v>
      </c>
      <c r="C330" s="5">
        <v>478000</v>
      </c>
      <c r="D330" s="18">
        <f>C330-(C330/(1+IVA))</f>
        <v>79666.666666666628</v>
      </c>
      <c r="E330" s="16" t="str">
        <f t="shared" si="5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2.75" customHeight="1" x14ac:dyDescent="0.2">
      <c r="A331" s="4" t="s">
        <v>476</v>
      </c>
      <c r="B331" s="4" t="s">
        <v>474</v>
      </c>
      <c r="C331" s="5">
        <v>626000</v>
      </c>
      <c r="D331" s="18">
        <f>C331-(C331/(1+IVA))</f>
        <v>104333.33333333331</v>
      </c>
      <c r="E331" s="16" t="str">
        <f t="shared" si="5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2.75" customHeight="1" x14ac:dyDescent="0.2">
      <c r="A332" s="4" t="s">
        <v>477</v>
      </c>
      <c r="B332" s="4" t="s">
        <v>474</v>
      </c>
      <c r="C332" s="5">
        <v>757000</v>
      </c>
      <c r="D332" s="18">
        <f>C332-(C332/(1+IVA))</f>
        <v>126166.66666666663</v>
      </c>
      <c r="E332" s="16" t="str">
        <f t="shared" si="5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2.75" customHeight="1" x14ac:dyDescent="0.2">
      <c r="A333" s="4" t="s">
        <v>478</v>
      </c>
      <c r="B333" s="4" t="s">
        <v>474</v>
      </c>
      <c r="C333" s="5">
        <v>1128000</v>
      </c>
      <c r="D333" s="18">
        <f>C333-(C333/(1+IVA))</f>
        <v>188000</v>
      </c>
      <c r="E333" s="16" t="str">
        <f t="shared" si="5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2.75" customHeight="1" x14ac:dyDescent="0.2">
      <c r="A334" s="4" t="s">
        <v>479</v>
      </c>
      <c r="B334" s="4" t="s">
        <v>474</v>
      </c>
      <c r="C334" s="5">
        <v>1527000</v>
      </c>
      <c r="D334" s="18">
        <f>C334-(C334/(1+IVA))</f>
        <v>254500</v>
      </c>
      <c r="E334" s="16" t="str">
        <f t="shared" si="5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2.75" customHeight="1" x14ac:dyDescent="0.2">
      <c r="A335" s="4" t="s">
        <v>480</v>
      </c>
      <c r="B335" s="4" t="s">
        <v>481</v>
      </c>
      <c r="C335" s="5">
        <v>4134000</v>
      </c>
      <c r="D335" s="18">
        <f>C335-(C335/(1+IVA))</f>
        <v>689000</v>
      </c>
      <c r="E335" s="16" t="str">
        <f t="shared" si="5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2.75" customHeight="1" x14ac:dyDescent="0.2">
      <c r="A336" s="4" t="s">
        <v>482</v>
      </c>
      <c r="B336" s="4" t="s">
        <v>481</v>
      </c>
      <c r="C336" s="5">
        <v>6850000</v>
      </c>
      <c r="D336" s="18">
        <f>C336-(C336/(1+IVA))</f>
        <v>1141666.666666666</v>
      </c>
      <c r="E336" s="16" t="str">
        <f t="shared" si="5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2.75" customHeight="1" x14ac:dyDescent="0.2">
      <c r="A337" s="4" t="s">
        <v>483</v>
      </c>
      <c r="B337" s="4" t="s">
        <v>481</v>
      </c>
      <c r="C337" s="5">
        <v>11712000</v>
      </c>
      <c r="D337" s="18">
        <f>C337-(C337/(1+IVA))</f>
        <v>1952000</v>
      </c>
      <c r="E337" s="16" t="str">
        <f t="shared" si="5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2.75" customHeight="1" x14ac:dyDescent="0.2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2.75" customHeight="1" x14ac:dyDescent="0.2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2.75" customHeight="1" x14ac:dyDescent="0.2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2.75" customHeight="1" x14ac:dyDescent="0.2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2.75" customHeight="1" x14ac:dyDescent="0.2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2.75" customHeight="1" x14ac:dyDescent="0.2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2.75" customHeight="1" x14ac:dyDescent="0.2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2.75" customHeight="1" x14ac:dyDescent="0.2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2.75" customHeight="1" x14ac:dyDescent="0.2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2.75" customHeight="1" x14ac:dyDescent="0.2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2.75" customHeight="1" x14ac:dyDescent="0.2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2.75" customHeight="1" x14ac:dyDescent="0.2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2.75" customHeight="1" x14ac:dyDescent="0.2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2.75" customHeight="1" x14ac:dyDescent="0.2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2.75" customHeight="1" x14ac:dyDescent="0.2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2.75" customHeight="1" x14ac:dyDescent="0.2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2.75" customHeight="1" x14ac:dyDescent="0.2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2.75" customHeight="1" x14ac:dyDescent="0.2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2.75" customHeight="1" x14ac:dyDescent="0.2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2.75" customHeight="1" x14ac:dyDescent="0.2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2.75" customHeight="1" x14ac:dyDescent="0.2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2.75" customHeight="1" x14ac:dyDescent="0.2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2.75" customHeight="1" x14ac:dyDescent="0.2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2.75" customHeight="1" x14ac:dyDescent="0.2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2.75" customHeight="1" x14ac:dyDescent="0.2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2.75" customHeight="1" x14ac:dyDescent="0.2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2.75" customHeight="1" x14ac:dyDescent="0.2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2.75" customHeight="1" x14ac:dyDescent="0.2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2.75" customHeight="1" x14ac:dyDescent="0.2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2.75" customHeight="1" x14ac:dyDescent="0.2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2.75" customHeight="1" x14ac:dyDescent="0.2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2.75" customHeight="1" x14ac:dyDescent="0.2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2.75" customHeight="1" x14ac:dyDescent="0.2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2.75" customHeight="1" x14ac:dyDescent="0.2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2.75" customHeight="1" x14ac:dyDescent="0.2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2.75" customHeight="1" x14ac:dyDescent="0.2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2.75" customHeight="1" x14ac:dyDescent="0.2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2.75" customHeight="1" x14ac:dyDescent="0.2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2.75" customHeight="1" x14ac:dyDescent="0.2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2.75" customHeight="1" x14ac:dyDescent="0.2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2.75" customHeight="1" x14ac:dyDescent="0.2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2.75" customHeight="1" x14ac:dyDescent="0.2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2.75" customHeight="1" x14ac:dyDescent="0.2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2.75" customHeight="1" x14ac:dyDescent="0.2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2.75" customHeight="1" x14ac:dyDescent="0.2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2.75" customHeight="1" x14ac:dyDescent="0.2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2.75" customHeight="1" x14ac:dyDescent="0.2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2.75" customHeight="1" x14ac:dyDescent="0.2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2.75" customHeight="1" x14ac:dyDescent="0.2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2.75" customHeight="1" x14ac:dyDescent="0.2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2.75" customHeight="1" x14ac:dyDescent="0.2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2.75" customHeight="1" x14ac:dyDescent="0.2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2.75" customHeight="1" x14ac:dyDescent="0.2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2.75" customHeight="1" x14ac:dyDescent="0.2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2.75" customHeight="1" x14ac:dyDescent="0.2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2.75" customHeight="1" x14ac:dyDescent="0.2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2.75" customHeight="1" x14ac:dyDescent="0.2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2.75" customHeight="1" x14ac:dyDescent="0.2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2.75" customHeight="1" x14ac:dyDescent="0.2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2.75" customHeight="1" x14ac:dyDescent="0.2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2.75" customHeight="1" x14ac:dyDescent="0.2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2.75" customHeight="1" x14ac:dyDescent="0.2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2.75" customHeight="1" x14ac:dyDescent="0.2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2.75" customHeight="1" x14ac:dyDescent="0.2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2.75" customHeight="1" x14ac:dyDescent="0.2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2.75" customHeight="1" x14ac:dyDescent="0.2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2.75" customHeight="1" x14ac:dyDescent="0.2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2.75" customHeight="1" x14ac:dyDescent="0.2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2.75" customHeight="1" x14ac:dyDescent="0.2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2.75" customHeight="1" x14ac:dyDescent="0.2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2.75" customHeight="1" x14ac:dyDescent="0.2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2.75" customHeight="1" x14ac:dyDescent="0.2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2.75" customHeight="1" x14ac:dyDescent="0.2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2.75" customHeight="1" x14ac:dyDescent="0.2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2.75" customHeight="1" x14ac:dyDescent="0.2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2.75" customHeight="1" x14ac:dyDescent="0.2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2.75" customHeight="1" x14ac:dyDescent="0.2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2.75" customHeight="1" x14ac:dyDescent="0.2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2.75" customHeight="1" x14ac:dyDescent="0.2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2.75" customHeight="1" x14ac:dyDescent="0.2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2.75" customHeight="1" x14ac:dyDescent="0.2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2.75" customHeight="1" x14ac:dyDescent="0.2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2.75" customHeight="1" x14ac:dyDescent="0.2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2.75" customHeight="1" x14ac:dyDescent="0.2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2.75" customHeight="1" x14ac:dyDescent="0.2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2.75" customHeight="1" x14ac:dyDescent="0.2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2.75" customHeight="1" x14ac:dyDescent="0.2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2.75" customHeight="1" x14ac:dyDescent="0.2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2.75" customHeight="1" x14ac:dyDescent="0.2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2.75" customHeight="1" x14ac:dyDescent="0.2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2.75" customHeight="1" x14ac:dyDescent="0.2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2.75" customHeight="1" x14ac:dyDescent="0.2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2.75" customHeight="1" x14ac:dyDescent="0.2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2.75" customHeight="1" x14ac:dyDescent="0.2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2.75" customHeight="1" x14ac:dyDescent="0.2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2.75" customHeight="1" x14ac:dyDescent="0.2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2.75" customHeight="1" x14ac:dyDescent="0.2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2.75" customHeight="1" x14ac:dyDescent="0.2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2.75" customHeight="1" x14ac:dyDescent="0.2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2.75" customHeight="1" x14ac:dyDescent="0.2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2.75" customHeight="1" x14ac:dyDescent="0.2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2.75" customHeight="1" x14ac:dyDescent="0.2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2.75" customHeight="1" x14ac:dyDescent="0.2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2.75" customHeight="1" x14ac:dyDescent="0.2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2.75" customHeight="1" x14ac:dyDescent="0.2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2.75" customHeight="1" x14ac:dyDescent="0.2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2.75" customHeight="1" x14ac:dyDescent="0.2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2.75" customHeight="1" x14ac:dyDescent="0.2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2.75" customHeight="1" x14ac:dyDescent="0.2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2.75" customHeight="1" x14ac:dyDescent="0.2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2.75" customHeight="1" x14ac:dyDescent="0.2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2.75" customHeight="1" x14ac:dyDescent="0.2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2.75" customHeight="1" x14ac:dyDescent="0.2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2.75" customHeight="1" x14ac:dyDescent="0.2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2.75" customHeight="1" x14ac:dyDescent="0.2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2.75" customHeight="1" x14ac:dyDescent="0.2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2.75" customHeight="1" x14ac:dyDescent="0.2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2.75" customHeight="1" x14ac:dyDescent="0.2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2.75" customHeight="1" x14ac:dyDescent="0.2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2.75" customHeight="1" x14ac:dyDescent="0.2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2.75" customHeight="1" x14ac:dyDescent="0.2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2.75" customHeight="1" x14ac:dyDescent="0.2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2.75" customHeight="1" x14ac:dyDescent="0.2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2.75" customHeight="1" x14ac:dyDescent="0.2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2.75" customHeight="1" x14ac:dyDescent="0.2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2.75" customHeight="1" x14ac:dyDescent="0.2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2.75" customHeight="1" x14ac:dyDescent="0.2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2.75" customHeight="1" x14ac:dyDescent="0.2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2.75" customHeight="1" x14ac:dyDescent="0.2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2.75" customHeight="1" x14ac:dyDescent="0.2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2.75" customHeight="1" x14ac:dyDescent="0.2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2.75" customHeight="1" x14ac:dyDescent="0.2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2.75" customHeight="1" x14ac:dyDescent="0.2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2.75" customHeight="1" x14ac:dyDescent="0.2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2.75" customHeight="1" x14ac:dyDescent="0.2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2.75" customHeight="1" x14ac:dyDescent="0.2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2.75" customHeight="1" x14ac:dyDescent="0.2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2.75" customHeight="1" x14ac:dyDescent="0.2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2.75" customHeight="1" x14ac:dyDescent="0.2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2.75" customHeight="1" x14ac:dyDescent="0.2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2.75" customHeight="1" x14ac:dyDescent="0.2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2.75" customHeight="1" x14ac:dyDescent="0.2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2.75" customHeight="1" x14ac:dyDescent="0.2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2.75" customHeight="1" x14ac:dyDescent="0.2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2.75" customHeight="1" x14ac:dyDescent="0.2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2.75" customHeight="1" x14ac:dyDescent="0.2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2.75" customHeight="1" x14ac:dyDescent="0.2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2.75" customHeight="1" x14ac:dyDescent="0.2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2.75" customHeight="1" x14ac:dyDescent="0.2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2.75" customHeight="1" x14ac:dyDescent="0.2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2.75" customHeight="1" x14ac:dyDescent="0.2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2.75" customHeight="1" x14ac:dyDescent="0.2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2.75" customHeight="1" x14ac:dyDescent="0.2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2.75" customHeight="1" x14ac:dyDescent="0.2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2.75" customHeight="1" x14ac:dyDescent="0.2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2.75" customHeight="1" x14ac:dyDescent="0.2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2.75" customHeight="1" x14ac:dyDescent="0.2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2.75" customHeight="1" x14ac:dyDescent="0.2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2.75" customHeight="1" x14ac:dyDescent="0.2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2.75" customHeight="1" x14ac:dyDescent="0.2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2.75" customHeight="1" x14ac:dyDescent="0.2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2.75" customHeight="1" x14ac:dyDescent="0.2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2.75" customHeight="1" x14ac:dyDescent="0.2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2.75" customHeight="1" x14ac:dyDescent="0.2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2.75" customHeight="1" x14ac:dyDescent="0.2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2.75" customHeight="1" x14ac:dyDescent="0.2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2.75" customHeight="1" x14ac:dyDescent="0.2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2.75" customHeight="1" x14ac:dyDescent="0.2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2.75" customHeight="1" x14ac:dyDescent="0.2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2.75" customHeight="1" x14ac:dyDescent="0.2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2.75" customHeight="1" x14ac:dyDescent="0.2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2.75" customHeight="1" x14ac:dyDescent="0.2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2.75" customHeight="1" x14ac:dyDescent="0.2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2.75" customHeight="1" x14ac:dyDescent="0.2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2.75" customHeight="1" x14ac:dyDescent="0.2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2.75" customHeight="1" x14ac:dyDescent="0.2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2.75" customHeight="1" x14ac:dyDescent="0.2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2.75" customHeight="1" x14ac:dyDescent="0.2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2.75" customHeight="1" x14ac:dyDescent="0.2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2.75" customHeight="1" x14ac:dyDescent="0.2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2.75" customHeight="1" x14ac:dyDescent="0.2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2.75" customHeight="1" x14ac:dyDescent="0.2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2.75" customHeight="1" x14ac:dyDescent="0.2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2.75" customHeight="1" x14ac:dyDescent="0.2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2.75" customHeight="1" x14ac:dyDescent="0.2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2.75" customHeight="1" x14ac:dyDescent="0.2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2.75" customHeight="1" x14ac:dyDescent="0.2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2.75" customHeight="1" x14ac:dyDescent="0.2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2.75" customHeight="1" x14ac:dyDescent="0.2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2.75" customHeight="1" x14ac:dyDescent="0.2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2.75" customHeight="1" x14ac:dyDescent="0.2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2.75" customHeight="1" x14ac:dyDescent="0.2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2.75" customHeight="1" x14ac:dyDescent="0.2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2.75" customHeight="1" x14ac:dyDescent="0.2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2.75" customHeight="1" x14ac:dyDescent="0.2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2.75" customHeight="1" x14ac:dyDescent="0.2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2.75" customHeight="1" x14ac:dyDescent="0.2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2.75" customHeight="1" x14ac:dyDescent="0.2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2.75" customHeight="1" x14ac:dyDescent="0.2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2.75" customHeight="1" x14ac:dyDescent="0.2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2.75" customHeight="1" x14ac:dyDescent="0.2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2.75" customHeight="1" x14ac:dyDescent="0.2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2.75" customHeight="1" x14ac:dyDescent="0.2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2.75" customHeight="1" x14ac:dyDescent="0.2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2.75" customHeight="1" x14ac:dyDescent="0.2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2.75" customHeight="1" x14ac:dyDescent="0.2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2.75" customHeight="1" x14ac:dyDescent="0.2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2.75" customHeight="1" x14ac:dyDescent="0.2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2.75" customHeight="1" x14ac:dyDescent="0.2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2.75" customHeight="1" x14ac:dyDescent="0.2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2.75" customHeight="1" x14ac:dyDescent="0.2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2.75" customHeight="1" x14ac:dyDescent="0.2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2.75" customHeight="1" x14ac:dyDescent="0.2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2.75" customHeight="1" x14ac:dyDescent="0.2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2.75" customHeight="1" x14ac:dyDescent="0.2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2.75" customHeight="1" x14ac:dyDescent="0.2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2.75" customHeight="1" x14ac:dyDescent="0.2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2.75" customHeight="1" x14ac:dyDescent="0.2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2.75" customHeight="1" x14ac:dyDescent="0.2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2.75" customHeight="1" x14ac:dyDescent="0.2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2.75" customHeight="1" x14ac:dyDescent="0.2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2.75" customHeight="1" x14ac:dyDescent="0.2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2.75" customHeight="1" x14ac:dyDescent="0.2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2.75" customHeight="1" x14ac:dyDescent="0.2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2.75" customHeight="1" x14ac:dyDescent="0.2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2.75" customHeight="1" x14ac:dyDescent="0.2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2.75" customHeight="1" x14ac:dyDescent="0.2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2.75" customHeight="1" x14ac:dyDescent="0.2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2.75" customHeight="1" x14ac:dyDescent="0.2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2.75" customHeight="1" x14ac:dyDescent="0.2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2.75" customHeight="1" x14ac:dyDescent="0.2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2.75" customHeight="1" x14ac:dyDescent="0.2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2.75" customHeight="1" x14ac:dyDescent="0.2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2.75" customHeight="1" x14ac:dyDescent="0.2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2.75" customHeight="1" x14ac:dyDescent="0.2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2.75" customHeight="1" x14ac:dyDescent="0.2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2.75" customHeight="1" x14ac:dyDescent="0.2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2.75" customHeight="1" x14ac:dyDescent="0.2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2.75" customHeight="1" x14ac:dyDescent="0.2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2.75" customHeight="1" x14ac:dyDescent="0.2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2.75" customHeight="1" x14ac:dyDescent="0.2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2.75" customHeight="1" x14ac:dyDescent="0.2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2.75" customHeight="1" x14ac:dyDescent="0.2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2.75" customHeight="1" x14ac:dyDescent="0.2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2.75" customHeight="1" x14ac:dyDescent="0.2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2.75" customHeight="1" x14ac:dyDescent="0.2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2.75" customHeight="1" x14ac:dyDescent="0.2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2.75" customHeight="1" x14ac:dyDescent="0.2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2.75" customHeight="1" x14ac:dyDescent="0.2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2.75" customHeight="1" x14ac:dyDescent="0.2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2.75" customHeight="1" x14ac:dyDescent="0.2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2.75" customHeight="1" x14ac:dyDescent="0.2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2.75" customHeight="1" x14ac:dyDescent="0.2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2.75" customHeight="1" x14ac:dyDescent="0.2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2.75" customHeight="1" x14ac:dyDescent="0.2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2.75" customHeight="1" x14ac:dyDescent="0.2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2.75" customHeight="1" x14ac:dyDescent="0.2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2.75" customHeight="1" x14ac:dyDescent="0.2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2.75" customHeight="1" x14ac:dyDescent="0.2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2.75" customHeight="1" x14ac:dyDescent="0.2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2.75" customHeight="1" x14ac:dyDescent="0.2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2.75" customHeight="1" x14ac:dyDescent="0.2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2.75" customHeight="1" x14ac:dyDescent="0.2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2.75" customHeight="1" x14ac:dyDescent="0.2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2.75" customHeight="1" x14ac:dyDescent="0.2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2.75" customHeight="1" x14ac:dyDescent="0.2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2.75" customHeight="1" x14ac:dyDescent="0.2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2.75" customHeight="1" x14ac:dyDescent="0.2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2.75" customHeight="1" x14ac:dyDescent="0.2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2.75" customHeight="1" x14ac:dyDescent="0.2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2.75" customHeight="1" x14ac:dyDescent="0.2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2.75" customHeight="1" x14ac:dyDescent="0.2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2.75" customHeight="1" x14ac:dyDescent="0.2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2.75" customHeight="1" x14ac:dyDescent="0.2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2.75" customHeight="1" x14ac:dyDescent="0.2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2.75" customHeight="1" x14ac:dyDescent="0.2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2.75" customHeight="1" x14ac:dyDescent="0.2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2.75" customHeight="1" x14ac:dyDescent="0.2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2.75" customHeight="1" x14ac:dyDescent="0.2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2.75" customHeight="1" x14ac:dyDescent="0.2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2.75" customHeight="1" x14ac:dyDescent="0.2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2.75" customHeight="1" x14ac:dyDescent="0.2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2.75" customHeight="1" x14ac:dyDescent="0.2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2.75" customHeight="1" x14ac:dyDescent="0.2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2.75" customHeight="1" x14ac:dyDescent="0.2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2.75" customHeight="1" x14ac:dyDescent="0.2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2.75" customHeight="1" x14ac:dyDescent="0.2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2.75" customHeight="1" x14ac:dyDescent="0.2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2.75" customHeight="1" x14ac:dyDescent="0.2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2.75" customHeight="1" x14ac:dyDescent="0.2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2.75" customHeight="1" x14ac:dyDescent="0.2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2.75" customHeight="1" x14ac:dyDescent="0.2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2.75" customHeight="1" x14ac:dyDescent="0.2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2.75" customHeight="1" x14ac:dyDescent="0.2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2.75" customHeight="1" x14ac:dyDescent="0.2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2.75" customHeight="1" x14ac:dyDescent="0.2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2.75" customHeight="1" x14ac:dyDescent="0.2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2.75" customHeight="1" x14ac:dyDescent="0.2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2.75" customHeight="1" x14ac:dyDescent="0.2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2.75" customHeight="1" x14ac:dyDescent="0.2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2.75" customHeight="1" x14ac:dyDescent="0.2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2.75" customHeight="1" x14ac:dyDescent="0.2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2.75" customHeight="1" x14ac:dyDescent="0.2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2.75" customHeight="1" x14ac:dyDescent="0.2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2.75" customHeight="1" x14ac:dyDescent="0.2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2.75" customHeight="1" x14ac:dyDescent="0.2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2.75" customHeight="1" x14ac:dyDescent="0.2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2.75" customHeight="1" x14ac:dyDescent="0.2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2.75" customHeight="1" x14ac:dyDescent="0.2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2.75" customHeight="1" x14ac:dyDescent="0.2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2.75" customHeight="1" x14ac:dyDescent="0.2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2.75" customHeight="1" x14ac:dyDescent="0.2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2.75" customHeight="1" x14ac:dyDescent="0.2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2.75" customHeight="1" x14ac:dyDescent="0.2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2.75" customHeight="1" x14ac:dyDescent="0.2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2.75" customHeight="1" x14ac:dyDescent="0.2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2.75" customHeight="1" x14ac:dyDescent="0.2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2.75" customHeight="1" x14ac:dyDescent="0.2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2.75" customHeight="1" x14ac:dyDescent="0.2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2.75" customHeight="1" x14ac:dyDescent="0.2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2.75" customHeight="1" x14ac:dyDescent="0.2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2.75" customHeight="1" x14ac:dyDescent="0.2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2.75" customHeight="1" x14ac:dyDescent="0.2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2.75" customHeight="1" x14ac:dyDescent="0.2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2.75" customHeight="1" x14ac:dyDescent="0.2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2.75" customHeight="1" x14ac:dyDescent="0.2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2.75" customHeight="1" x14ac:dyDescent="0.2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2.75" customHeight="1" x14ac:dyDescent="0.2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2.75" customHeight="1" x14ac:dyDescent="0.2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2.75" customHeight="1" x14ac:dyDescent="0.2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2.75" customHeight="1" x14ac:dyDescent="0.2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2.75" customHeight="1" x14ac:dyDescent="0.2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2.75" customHeight="1" x14ac:dyDescent="0.2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2.75" customHeight="1" x14ac:dyDescent="0.2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2.75" customHeight="1" x14ac:dyDescent="0.2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2.75" customHeight="1" x14ac:dyDescent="0.2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2.75" customHeight="1" x14ac:dyDescent="0.2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2.75" customHeight="1" x14ac:dyDescent="0.2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2.75" customHeight="1" x14ac:dyDescent="0.2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2.75" customHeight="1" x14ac:dyDescent="0.2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2.75" customHeight="1" x14ac:dyDescent="0.2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2.75" customHeight="1" x14ac:dyDescent="0.2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2.75" customHeight="1" x14ac:dyDescent="0.2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2.75" customHeight="1" x14ac:dyDescent="0.2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2.75" customHeight="1" x14ac:dyDescent="0.2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2.75" customHeight="1" x14ac:dyDescent="0.2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2.75" customHeight="1" x14ac:dyDescent="0.2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2.75" customHeight="1" x14ac:dyDescent="0.2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2.75" customHeight="1" x14ac:dyDescent="0.2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2.75" customHeight="1" x14ac:dyDescent="0.2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2.75" customHeight="1" x14ac:dyDescent="0.2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2.75" customHeight="1" x14ac:dyDescent="0.2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2.75" customHeight="1" x14ac:dyDescent="0.2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2.75" customHeight="1" x14ac:dyDescent="0.2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2.75" customHeight="1" x14ac:dyDescent="0.2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2.75" customHeight="1" x14ac:dyDescent="0.2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2.75" customHeight="1" x14ac:dyDescent="0.2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2.75" customHeight="1" x14ac:dyDescent="0.2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2.75" customHeight="1" x14ac:dyDescent="0.2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2.75" customHeight="1" x14ac:dyDescent="0.2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2.75" customHeight="1" x14ac:dyDescent="0.2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2.75" customHeight="1" x14ac:dyDescent="0.2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2.75" customHeight="1" x14ac:dyDescent="0.2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2.75" customHeight="1" x14ac:dyDescent="0.2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2.75" customHeight="1" x14ac:dyDescent="0.2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2.75" customHeight="1" x14ac:dyDescent="0.2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2.75" customHeight="1" x14ac:dyDescent="0.2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2.75" customHeight="1" x14ac:dyDescent="0.2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2.75" customHeight="1" x14ac:dyDescent="0.2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2.75" customHeight="1" x14ac:dyDescent="0.2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2.75" customHeight="1" x14ac:dyDescent="0.2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2.75" customHeight="1" x14ac:dyDescent="0.2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2.75" customHeight="1" x14ac:dyDescent="0.2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2.75" customHeight="1" x14ac:dyDescent="0.2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2.75" customHeight="1" x14ac:dyDescent="0.2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2.75" customHeight="1" x14ac:dyDescent="0.2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2.75" customHeight="1" x14ac:dyDescent="0.2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2.75" customHeight="1" x14ac:dyDescent="0.2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2.75" customHeight="1" x14ac:dyDescent="0.2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2.75" customHeight="1" x14ac:dyDescent="0.2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2.75" customHeight="1" x14ac:dyDescent="0.2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2.75" customHeight="1" x14ac:dyDescent="0.2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2.75" customHeight="1" x14ac:dyDescent="0.2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2.75" customHeight="1" x14ac:dyDescent="0.2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2.75" customHeight="1" x14ac:dyDescent="0.2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2.75" customHeight="1" x14ac:dyDescent="0.2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2.75" customHeight="1" x14ac:dyDescent="0.2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2.75" customHeight="1" x14ac:dyDescent="0.2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2.75" customHeight="1" x14ac:dyDescent="0.2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2.75" customHeight="1" x14ac:dyDescent="0.2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2.75" customHeight="1" x14ac:dyDescent="0.2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2.75" customHeight="1" x14ac:dyDescent="0.2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2.75" customHeight="1" x14ac:dyDescent="0.2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2.75" customHeight="1" x14ac:dyDescent="0.2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2.75" customHeight="1" x14ac:dyDescent="0.2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2.75" customHeight="1" x14ac:dyDescent="0.2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2.75" customHeight="1" x14ac:dyDescent="0.2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2.75" customHeight="1" x14ac:dyDescent="0.2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2.75" customHeight="1" x14ac:dyDescent="0.2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2.75" customHeight="1" x14ac:dyDescent="0.2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2.75" customHeight="1" x14ac:dyDescent="0.2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2.75" customHeight="1" x14ac:dyDescent="0.2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2.75" customHeight="1" x14ac:dyDescent="0.2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2.75" customHeight="1" x14ac:dyDescent="0.2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2.75" customHeight="1" x14ac:dyDescent="0.2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2.75" customHeight="1" x14ac:dyDescent="0.2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2.75" customHeight="1" x14ac:dyDescent="0.2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2.75" customHeight="1" x14ac:dyDescent="0.2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2.75" customHeight="1" x14ac:dyDescent="0.2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2.75" customHeight="1" x14ac:dyDescent="0.2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2.75" customHeight="1" x14ac:dyDescent="0.2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2.75" customHeight="1" x14ac:dyDescent="0.2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2.75" customHeight="1" x14ac:dyDescent="0.2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2.75" customHeight="1" x14ac:dyDescent="0.2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2.75" customHeight="1" x14ac:dyDescent="0.2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2.75" customHeight="1" x14ac:dyDescent="0.2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2.75" customHeight="1" x14ac:dyDescent="0.2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2.75" customHeight="1" x14ac:dyDescent="0.2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2.75" customHeight="1" x14ac:dyDescent="0.2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2.75" customHeight="1" x14ac:dyDescent="0.2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2.75" customHeight="1" x14ac:dyDescent="0.2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2.75" customHeight="1" x14ac:dyDescent="0.2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2.75" customHeight="1" x14ac:dyDescent="0.2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2.75" customHeight="1" x14ac:dyDescent="0.2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2.75" customHeight="1" x14ac:dyDescent="0.2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2.75" customHeight="1" x14ac:dyDescent="0.2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2.75" customHeight="1" x14ac:dyDescent="0.2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2.75" customHeight="1" x14ac:dyDescent="0.2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2.75" customHeight="1" x14ac:dyDescent="0.2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2.75" customHeight="1" x14ac:dyDescent="0.2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2.75" customHeight="1" x14ac:dyDescent="0.2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2.75" customHeight="1" x14ac:dyDescent="0.2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2.75" customHeight="1" x14ac:dyDescent="0.2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2.75" customHeight="1" x14ac:dyDescent="0.2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2.75" customHeight="1" x14ac:dyDescent="0.2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2.75" customHeight="1" x14ac:dyDescent="0.2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2.75" customHeight="1" x14ac:dyDescent="0.2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2.75" customHeight="1" x14ac:dyDescent="0.2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2.75" customHeight="1" x14ac:dyDescent="0.2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2.75" customHeight="1" x14ac:dyDescent="0.2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2.75" customHeight="1" x14ac:dyDescent="0.2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2.75" customHeight="1" x14ac:dyDescent="0.2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2.75" customHeight="1" x14ac:dyDescent="0.2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2.75" customHeight="1" x14ac:dyDescent="0.2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2.75" customHeight="1" x14ac:dyDescent="0.2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2.75" customHeight="1" x14ac:dyDescent="0.2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2.75" customHeight="1" x14ac:dyDescent="0.2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2.75" customHeight="1" x14ac:dyDescent="0.2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2.75" customHeight="1" x14ac:dyDescent="0.2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2.75" customHeight="1" x14ac:dyDescent="0.2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2.75" customHeight="1" x14ac:dyDescent="0.2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2.75" customHeight="1" x14ac:dyDescent="0.2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2.75" customHeight="1" x14ac:dyDescent="0.2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2.75" customHeight="1" x14ac:dyDescent="0.2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2.75" customHeight="1" x14ac:dyDescent="0.2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2.75" customHeight="1" x14ac:dyDescent="0.2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2.75" customHeight="1" x14ac:dyDescent="0.2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2.75" customHeight="1" x14ac:dyDescent="0.2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2.75" customHeight="1" x14ac:dyDescent="0.2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2.75" customHeight="1" x14ac:dyDescent="0.2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2.75" customHeight="1" x14ac:dyDescent="0.2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2.75" customHeight="1" x14ac:dyDescent="0.2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2.75" customHeight="1" x14ac:dyDescent="0.2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2.75" customHeight="1" x14ac:dyDescent="0.2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2.75" customHeight="1" x14ac:dyDescent="0.2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2.75" customHeight="1" x14ac:dyDescent="0.2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2.75" customHeight="1" x14ac:dyDescent="0.2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2.75" customHeight="1" x14ac:dyDescent="0.2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2.75" customHeight="1" x14ac:dyDescent="0.2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2.75" customHeight="1" x14ac:dyDescent="0.2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2.75" customHeight="1" x14ac:dyDescent="0.2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2.75" customHeight="1" x14ac:dyDescent="0.2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2.75" customHeight="1" x14ac:dyDescent="0.2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2.75" customHeight="1" x14ac:dyDescent="0.2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2.75" customHeight="1" x14ac:dyDescent="0.2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2.75" customHeight="1" x14ac:dyDescent="0.2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2.75" customHeight="1" x14ac:dyDescent="0.2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2.75" customHeight="1" x14ac:dyDescent="0.2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2.75" customHeight="1" x14ac:dyDescent="0.2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2.75" customHeight="1" x14ac:dyDescent="0.2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2.75" customHeight="1" x14ac:dyDescent="0.2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2.75" customHeight="1" x14ac:dyDescent="0.2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2.75" customHeight="1" x14ac:dyDescent="0.2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2.75" customHeight="1" x14ac:dyDescent="0.2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2.75" customHeight="1" x14ac:dyDescent="0.2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2.75" customHeight="1" x14ac:dyDescent="0.2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2.75" customHeight="1" x14ac:dyDescent="0.2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2.75" customHeight="1" x14ac:dyDescent="0.2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2.75" customHeight="1" x14ac:dyDescent="0.2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2.75" customHeight="1" x14ac:dyDescent="0.2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2.75" customHeight="1" x14ac:dyDescent="0.2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2.75" customHeight="1" x14ac:dyDescent="0.2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2.75" customHeight="1" x14ac:dyDescent="0.2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2.75" customHeight="1" x14ac:dyDescent="0.2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2.75" customHeight="1" x14ac:dyDescent="0.2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2.75" customHeight="1" x14ac:dyDescent="0.2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2.75" customHeight="1" x14ac:dyDescent="0.2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2.75" customHeight="1" x14ac:dyDescent="0.2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2.75" customHeight="1" x14ac:dyDescent="0.2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2.75" customHeight="1" x14ac:dyDescent="0.2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2.75" customHeight="1" x14ac:dyDescent="0.2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2.75" customHeight="1" x14ac:dyDescent="0.2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2.75" customHeight="1" x14ac:dyDescent="0.2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2.75" customHeight="1" x14ac:dyDescent="0.2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2.75" customHeight="1" x14ac:dyDescent="0.2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2.75" customHeight="1" x14ac:dyDescent="0.2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2.75" customHeight="1" x14ac:dyDescent="0.2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2.75" customHeight="1" x14ac:dyDescent="0.2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2.75" customHeight="1" x14ac:dyDescent="0.2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2.75" customHeight="1" x14ac:dyDescent="0.2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2.75" customHeight="1" x14ac:dyDescent="0.2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2.75" customHeight="1" x14ac:dyDescent="0.2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2.75" customHeight="1" x14ac:dyDescent="0.2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2.75" customHeight="1" x14ac:dyDescent="0.2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2.75" customHeight="1" x14ac:dyDescent="0.2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2.75" customHeight="1" x14ac:dyDescent="0.2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2.75" customHeight="1" x14ac:dyDescent="0.2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2.75" customHeight="1" x14ac:dyDescent="0.2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2.75" customHeight="1" x14ac:dyDescent="0.2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2.75" customHeight="1" x14ac:dyDescent="0.2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2.75" customHeight="1" x14ac:dyDescent="0.2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2.75" customHeight="1" x14ac:dyDescent="0.2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2.75" customHeight="1" x14ac:dyDescent="0.2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2.75" customHeight="1" x14ac:dyDescent="0.2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2.75" customHeight="1" x14ac:dyDescent="0.2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2.75" customHeight="1" x14ac:dyDescent="0.2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2.75" customHeight="1" x14ac:dyDescent="0.2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2.75" customHeight="1" x14ac:dyDescent="0.2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2.75" customHeight="1" x14ac:dyDescent="0.2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2.75" customHeight="1" x14ac:dyDescent="0.2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2.75" customHeight="1" x14ac:dyDescent="0.2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2.75" customHeight="1" x14ac:dyDescent="0.2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2.75" customHeight="1" x14ac:dyDescent="0.2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2.75" customHeight="1" x14ac:dyDescent="0.2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2.75" customHeight="1" x14ac:dyDescent="0.2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2.75" customHeight="1" x14ac:dyDescent="0.2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2.75" customHeight="1" x14ac:dyDescent="0.2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2.75" customHeight="1" x14ac:dyDescent="0.2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2.75" customHeight="1" x14ac:dyDescent="0.2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2.75" customHeight="1" x14ac:dyDescent="0.2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2.75" customHeight="1" x14ac:dyDescent="0.2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2.75" customHeight="1" x14ac:dyDescent="0.2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2.75" customHeight="1" x14ac:dyDescent="0.2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2.75" customHeight="1" x14ac:dyDescent="0.2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2.75" customHeight="1" x14ac:dyDescent="0.2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2.75" customHeight="1" x14ac:dyDescent="0.2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2.75" customHeight="1" x14ac:dyDescent="0.2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2.75" customHeight="1" x14ac:dyDescent="0.2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2.75" customHeight="1" x14ac:dyDescent="0.2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2.75" customHeight="1" x14ac:dyDescent="0.2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2.75" customHeight="1" x14ac:dyDescent="0.2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2.75" customHeight="1" x14ac:dyDescent="0.2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2.75" customHeight="1" x14ac:dyDescent="0.2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2.75" customHeight="1" x14ac:dyDescent="0.2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2.75" customHeight="1" x14ac:dyDescent="0.2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2.75" customHeight="1" x14ac:dyDescent="0.2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2.75" customHeight="1" x14ac:dyDescent="0.2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2.75" customHeight="1" x14ac:dyDescent="0.2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2.75" customHeight="1" x14ac:dyDescent="0.2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2.75" customHeight="1" x14ac:dyDescent="0.2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2.75" customHeight="1" x14ac:dyDescent="0.2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2.75" customHeight="1" x14ac:dyDescent="0.2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2.75" customHeight="1" x14ac:dyDescent="0.2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2.75" customHeight="1" x14ac:dyDescent="0.2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2.75" customHeight="1" x14ac:dyDescent="0.2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2.75" customHeight="1" x14ac:dyDescent="0.2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2.75" customHeight="1" x14ac:dyDescent="0.2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2.75" customHeight="1" x14ac:dyDescent="0.2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2.75" customHeight="1" x14ac:dyDescent="0.2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2.75" customHeight="1" x14ac:dyDescent="0.2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2.75" customHeight="1" x14ac:dyDescent="0.2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2.75" customHeight="1" x14ac:dyDescent="0.2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2.75" customHeight="1" x14ac:dyDescent="0.2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2.75" customHeight="1" x14ac:dyDescent="0.2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2.75" customHeight="1" x14ac:dyDescent="0.2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2.75" customHeight="1" x14ac:dyDescent="0.2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2.75" customHeight="1" x14ac:dyDescent="0.2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2.75" customHeight="1" x14ac:dyDescent="0.2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2.75" customHeight="1" x14ac:dyDescent="0.2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2.75" customHeight="1" x14ac:dyDescent="0.2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2.75" customHeight="1" x14ac:dyDescent="0.2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2.75" customHeight="1" x14ac:dyDescent="0.2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2.75" customHeight="1" x14ac:dyDescent="0.2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2.75" customHeight="1" x14ac:dyDescent="0.2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2.75" customHeight="1" x14ac:dyDescent="0.2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2.75" customHeight="1" x14ac:dyDescent="0.2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2.75" customHeight="1" x14ac:dyDescent="0.2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2.75" customHeight="1" x14ac:dyDescent="0.2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2.75" customHeight="1" x14ac:dyDescent="0.2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2.75" customHeight="1" x14ac:dyDescent="0.2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2.75" customHeight="1" x14ac:dyDescent="0.2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2.75" customHeight="1" x14ac:dyDescent="0.2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2.75" customHeight="1" x14ac:dyDescent="0.2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2.75" customHeight="1" x14ac:dyDescent="0.2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2.75" customHeight="1" x14ac:dyDescent="0.2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2.75" customHeight="1" x14ac:dyDescent="0.2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2.75" customHeight="1" x14ac:dyDescent="0.2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2.75" customHeight="1" x14ac:dyDescent="0.2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2.75" customHeight="1" x14ac:dyDescent="0.2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2.75" customHeight="1" x14ac:dyDescent="0.2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2.75" customHeight="1" x14ac:dyDescent="0.2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2.75" customHeight="1" x14ac:dyDescent="0.2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2.75" customHeight="1" x14ac:dyDescent="0.2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2.75" customHeight="1" x14ac:dyDescent="0.2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2.75" customHeight="1" x14ac:dyDescent="0.2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2.75" customHeight="1" x14ac:dyDescent="0.2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2.75" customHeight="1" x14ac:dyDescent="0.2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2.75" customHeight="1" x14ac:dyDescent="0.2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2.75" customHeight="1" x14ac:dyDescent="0.2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2.75" customHeight="1" x14ac:dyDescent="0.2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2.75" customHeight="1" x14ac:dyDescent="0.2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2.75" customHeight="1" x14ac:dyDescent="0.2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2.75" customHeight="1" x14ac:dyDescent="0.2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2.75" customHeight="1" x14ac:dyDescent="0.2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2.75" customHeight="1" x14ac:dyDescent="0.2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2.75" customHeight="1" x14ac:dyDescent="0.2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2.75" customHeight="1" x14ac:dyDescent="0.2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2.75" customHeight="1" x14ac:dyDescent="0.2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2.75" customHeight="1" x14ac:dyDescent="0.2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2.75" customHeight="1" x14ac:dyDescent="0.2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2.75" customHeight="1" x14ac:dyDescent="0.2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2.75" customHeight="1" x14ac:dyDescent="0.2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2.75" customHeight="1" x14ac:dyDescent="0.2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2.75" customHeight="1" x14ac:dyDescent="0.2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2.75" customHeight="1" x14ac:dyDescent="0.2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2.75" customHeight="1" x14ac:dyDescent="0.2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2.75" customHeight="1" x14ac:dyDescent="0.2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2.75" customHeight="1" x14ac:dyDescent="0.2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2.75" customHeight="1" x14ac:dyDescent="0.2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2.75" customHeight="1" x14ac:dyDescent="0.2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2.75" customHeight="1" x14ac:dyDescent="0.2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2.75" customHeight="1" x14ac:dyDescent="0.2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2.75" customHeight="1" x14ac:dyDescent="0.2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2.75" customHeight="1" x14ac:dyDescent="0.2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2.75" customHeight="1" x14ac:dyDescent="0.2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2.75" customHeight="1" x14ac:dyDescent="0.2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2.75" customHeight="1" x14ac:dyDescent="0.2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2.75" customHeight="1" x14ac:dyDescent="0.2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2.75" customHeight="1" x14ac:dyDescent="0.2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2.75" customHeight="1" x14ac:dyDescent="0.2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2.75" customHeight="1" x14ac:dyDescent="0.2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2.75" customHeight="1" x14ac:dyDescent="0.2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2.75" customHeight="1" x14ac:dyDescent="0.2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2.75" customHeight="1" x14ac:dyDescent="0.2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2.75" customHeight="1" x14ac:dyDescent="0.2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2.75" customHeight="1" x14ac:dyDescent="0.2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2.75" customHeight="1" x14ac:dyDescent="0.2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2.75" customHeight="1" x14ac:dyDescent="0.2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2.75" customHeight="1" x14ac:dyDescent="0.2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2.75" customHeight="1" x14ac:dyDescent="0.2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2.75" customHeight="1" x14ac:dyDescent="0.2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2.75" customHeight="1" x14ac:dyDescent="0.2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2.75" customHeight="1" x14ac:dyDescent="0.2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2.75" customHeight="1" x14ac:dyDescent="0.2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2.75" customHeight="1" x14ac:dyDescent="0.2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2.75" customHeight="1" x14ac:dyDescent="0.2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2.75" customHeight="1" x14ac:dyDescent="0.2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2.75" customHeight="1" x14ac:dyDescent="0.2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2.75" customHeight="1" x14ac:dyDescent="0.2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2.75" customHeight="1" x14ac:dyDescent="0.2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2" sqref="C2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14" customWidth="1"/>
    <col min="5" max="5" width="15.59765625" bestFit="1" customWidth="1"/>
    <col min="6" max="6" width="7.19921875" customWidth="1"/>
    <col min="7" max="7" width="14.19921875" customWidth="1"/>
    <col min="8" max="8" width="8" customWidth="1"/>
    <col min="9" max="26" width="9.19921875" customWidth="1"/>
  </cols>
  <sheetData>
    <row r="1" spans="1:26" ht="12.75" customHeight="1" x14ac:dyDescent="0.2">
      <c r="A1" s="6" t="s">
        <v>484</v>
      </c>
      <c r="B1" s="6" t="s">
        <v>485</v>
      </c>
      <c r="C1" s="6" t="s">
        <v>571</v>
      </c>
      <c r="D1" s="1" t="s">
        <v>572</v>
      </c>
      <c r="E1" s="1" t="s">
        <v>577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7" t="s">
        <v>486</v>
      </c>
      <c r="B2" s="7">
        <v>40</v>
      </c>
      <c r="C2" s="7" t="str">
        <f>VLOOKUP(B2,$D$2:$E$5,2,FALSE)</f>
        <v>SUFFICIENTE</v>
      </c>
      <c r="D2" s="8">
        <v>0</v>
      </c>
      <c r="E2" s="8" t="s">
        <v>573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7" t="s">
        <v>487</v>
      </c>
      <c r="B3" s="7">
        <v>60</v>
      </c>
      <c r="C3" s="7" t="str">
        <f t="shared" ref="C3:C8" si="0">VLOOKUP(B3,$D$2:$E$5,2,FALSE)</f>
        <v>DISCRETO</v>
      </c>
      <c r="D3">
        <v>40</v>
      </c>
      <c r="E3" s="8" t="s">
        <v>574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7" t="s">
        <v>488</v>
      </c>
      <c r="B4" s="7">
        <v>60</v>
      </c>
      <c r="C4" s="7" t="str">
        <f t="shared" si="0"/>
        <v>DISCRETO</v>
      </c>
      <c r="D4">
        <v>60</v>
      </c>
      <c r="E4" s="8" t="s">
        <v>575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7" t="s">
        <v>489</v>
      </c>
      <c r="B5" s="7">
        <v>40</v>
      </c>
      <c r="C5" s="7" t="str">
        <f t="shared" si="0"/>
        <v>SUFFICIENTE</v>
      </c>
      <c r="D5">
        <v>70</v>
      </c>
      <c r="E5" s="8" t="s">
        <v>576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7" t="s">
        <v>490</v>
      </c>
      <c r="B6" s="7">
        <v>70</v>
      </c>
      <c r="C6" s="7" t="str">
        <f t="shared" si="0"/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7" t="s">
        <v>491</v>
      </c>
      <c r="B7" s="7">
        <v>0</v>
      </c>
      <c r="C7" s="7" t="str">
        <f t="shared" si="0"/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7" t="s">
        <v>492</v>
      </c>
      <c r="B8" s="7">
        <v>0</v>
      </c>
      <c r="C8" s="7" t="str">
        <f t="shared" si="0"/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I11" sqref="I11"/>
    </sheetView>
  </sheetViews>
  <sheetFormatPr baseColWidth="10" defaultColWidth="14.3984375" defaultRowHeight="15" customHeight="1" x14ac:dyDescent="0.2"/>
  <cols>
    <col min="1" max="1" width="11" bestFit="1" customWidth="1"/>
    <col min="2" max="2" width="28.19921875" customWidth="1"/>
    <col min="3" max="3" width="21.19921875" customWidth="1"/>
    <col min="4" max="4" width="18" customWidth="1"/>
    <col min="5" max="5" width="21.796875" customWidth="1"/>
    <col min="6" max="6" width="3.796875" customWidth="1"/>
    <col min="7" max="7" width="21.19921875" customWidth="1"/>
    <col min="8" max="8" width="21" customWidth="1"/>
    <col min="9" max="9" width="21.3984375" style="20" customWidth="1"/>
    <col min="10" max="11" width="8.796875" customWidth="1"/>
    <col min="12" max="12" width="21.796875" customWidth="1"/>
    <col min="13" max="13" width="26.796875" customWidth="1"/>
    <col min="14" max="24" width="8.796875" customWidth="1"/>
  </cols>
  <sheetData>
    <row r="1" spans="1:24" ht="13.5" customHeight="1" thickBot="1" x14ac:dyDescent="0.2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9" t="s">
        <v>578</v>
      </c>
      <c r="H1" s="9" t="s">
        <v>581</v>
      </c>
      <c r="I1" s="19" t="s">
        <v>580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thickTop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13" t="s">
        <v>499</v>
      </c>
      <c r="H2">
        <f>COUNTIF($C$2:$C$80,G2)</f>
        <v>11</v>
      </c>
      <c r="I2" s="20">
        <f>SUMIF(C:C,G2,D:D)</f>
        <v>611780</v>
      </c>
      <c r="L2" s="13"/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13" t="s">
        <v>558</v>
      </c>
      <c r="H3">
        <f>COUNTIF($C$2:$C$80,G3)</f>
        <v>5</v>
      </c>
      <c r="I3" s="20">
        <f>SUMIF(C:C,G3,D:D)</f>
        <v>30860</v>
      </c>
      <c r="L3" s="13"/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13" t="s">
        <v>506</v>
      </c>
      <c r="H4">
        <f>COUNTIF($C$2:$C$80,G4)</f>
        <v>4</v>
      </c>
      <c r="I4" s="20">
        <f>SUMIF(C:C,G4,D:D)</f>
        <v>54000</v>
      </c>
      <c r="L4" s="13"/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13" t="s">
        <v>547</v>
      </c>
      <c r="H5">
        <f>COUNTIF($C$2:$C$80,G5)</f>
        <v>4</v>
      </c>
      <c r="I5" s="20">
        <f>SUMIF(C:C,G5,D:D)</f>
        <v>6765600</v>
      </c>
      <c r="L5" s="13"/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thickBot="1" x14ac:dyDescent="0.25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9" t="s">
        <v>579</v>
      </c>
    </row>
    <row r="8" spans="1:24" ht="13.5" customHeight="1" thickTop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15" t="s">
        <v>501</v>
      </c>
      <c r="H8">
        <f>COUNTIF($B$2:$B$80,G8)</f>
        <v>2</v>
      </c>
      <c r="I8" s="20">
        <f>SUMIF($B$2:$B$80,G8,$D$2:$D$80)</f>
        <v>73450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15" t="s">
        <v>507</v>
      </c>
      <c r="H9">
        <f>COUNTIF($B$2:$B$80,G9)</f>
        <v>1</v>
      </c>
      <c r="I9" s="20">
        <f t="shared" ref="I9:I14" si="0">SUMIF($B$2:$B$80,G9,$D$2:$D$80)</f>
        <v>50800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5" t="s">
        <v>509</v>
      </c>
      <c r="H10">
        <f>COUNTIF($B$2:$B$80,G10)</f>
        <v>1</v>
      </c>
      <c r="I10" s="20">
        <f t="shared" si="0"/>
        <v>98450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15" t="s">
        <v>511</v>
      </c>
      <c r="H11">
        <f>COUNTIF($B$2:$B$80,G11)</f>
        <v>1</v>
      </c>
      <c r="I11" s="20">
        <f t="shared" si="0"/>
        <v>7950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15" t="s">
        <v>525</v>
      </c>
      <c r="H12">
        <f>COUNTIF($B$2:$B$80,G12)</f>
        <v>4</v>
      </c>
      <c r="I12" s="20">
        <f t="shared" si="0"/>
        <v>283000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15" t="s">
        <v>528</v>
      </c>
      <c r="H13">
        <f>COUNTIF($B$2:$B$80,G13)</f>
        <v>2</v>
      </c>
      <c r="I13" s="20">
        <f t="shared" si="0"/>
        <v>107700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s="15" t="s">
        <v>529</v>
      </c>
      <c r="H14">
        <f>COUNTIF($B$2:$B$80,G14)</f>
        <v>1</v>
      </c>
      <c r="I14" s="20">
        <f t="shared" si="0"/>
        <v>27270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I15"/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I16"/>
    </row>
    <row r="17" spans="1:9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I17"/>
    </row>
    <row r="18" spans="1:9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I18"/>
    </row>
    <row r="19" spans="1:9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9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I20"/>
    </row>
    <row r="21" spans="1:9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  <c r="I21"/>
    </row>
    <row r="22" spans="1:9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9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I23"/>
    </row>
    <row r="24" spans="1:9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9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9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9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9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9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9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9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9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12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12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12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12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12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12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12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12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12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12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12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12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12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12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12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12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  <c r="L64" s="14">
        <f>SUBTOTAL(9,D42:D65)</f>
        <v>7556200</v>
      </c>
    </row>
    <row r="65" spans="1:12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12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  <c r="L66" s="14">
        <f>SUBTOTAL(9,D58:D80)</f>
        <v>4662500</v>
      </c>
    </row>
    <row r="67" spans="1:12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12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12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12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12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12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12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12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12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12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12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12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12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12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E82" s="14"/>
    </row>
    <row r="83" spans="4:5" ht="13.5" customHeight="1" x14ac:dyDescent="0.2"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22</vt:i4>
      </vt:variant>
    </vt:vector>
  </HeadingPairs>
  <TitlesOfParts>
    <vt:vector size="25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Alexandra Oancea</cp:lastModifiedBy>
  <dcterms:created xsi:type="dcterms:W3CDTF">2005-04-12T12:35:30Z</dcterms:created>
  <dcterms:modified xsi:type="dcterms:W3CDTF">2026-02-13T20:47:12Z</dcterms:modified>
</cp:coreProperties>
</file>
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asquale/Documents/Ale/EPICODE/esercizi EXCEL M2/1/"/>
    </mc:Choice>
  </mc:AlternateContent>
  <xr:revisionPtr revIDLastSave="0" documentId="13_ncr:1_{899C525D-5EA3-0745-AB0C-83079CA40654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6" i="2"/>
  <c r="F3" i="2"/>
  <c r="F4" i="2"/>
  <c r="F5" i="2"/>
  <c r="F2" i="2"/>
  <c r="E3" i="2"/>
  <c r="E4" i="2"/>
  <c r="E5" i="2"/>
  <c r="E6" i="2"/>
  <c r="E2" i="2"/>
  <c r="D2" i="1" a="1"/>
  <c r="D2" i="1" s="1"/>
  <c r="C2" i="1" a="1"/>
  <c r="C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C3" i="1" a="1"/>
  <c r="C3" i="1" s="1"/>
  <c r="C4" i="1" a="1"/>
  <c r="C4" i="1"/>
  <c r="C5" i="1" a="1"/>
  <c r="C5" i="1" s="1"/>
  <c r="C6" i="1" a="1"/>
  <c r="C6" i="1" s="1"/>
  <c r="C7" i="1" a="1"/>
  <c r="C7" i="1" s="1"/>
  <c r="C8" i="1" a="1"/>
  <c r="C8" i="1" s="1"/>
  <c r="C9" i="1" a="1"/>
  <c r="C9" i="1"/>
  <c r="C10" i="1" a="1"/>
  <c r="C10" i="1" s="1"/>
  <c r="C11" i="1" a="1"/>
  <c r="C11" i="1" s="1"/>
  <c r="C12" i="1" a="1"/>
  <c r="C12" i="1"/>
  <c r="C13" i="1" a="1"/>
  <c r="C13" i="1"/>
  <c r="C14" i="1" a="1"/>
  <c r="C14" i="1" s="1"/>
  <c r="C15" i="1" a="1"/>
  <c r="C15" i="1" s="1"/>
  <c r="C16" i="1" a="1"/>
  <c r="C16" i="1"/>
  <c r="C17" i="1" a="1"/>
  <c r="C17" i="1"/>
  <c r="C18" i="1" a="1"/>
  <c r="C18" i="1" s="1"/>
  <c r="C19" i="1" a="1"/>
  <c r="C19" i="1" s="1"/>
  <c r="C20" i="1" a="1"/>
  <c r="C20" i="1"/>
  <c r="C21" i="1" a="1"/>
  <c r="C21" i="1"/>
  <c r="C22" i="1" a="1"/>
  <c r="C22" i="1" s="1"/>
  <c r="C23" i="1" a="1"/>
  <c r="C23" i="1" s="1"/>
  <c r="C24" i="1" a="1"/>
  <c r="C24" i="1"/>
  <c r="C25" i="1" a="1"/>
  <c r="C25" i="1"/>
  <c r="C26" i="1" a="1"/>
  <c r="C26" i="1" s="1"/>
  <c r="C27" i="1" a="1"/>
  <c r="C27" i="1" s="1"/>
  <c r="C28" i="1" a="1"/>
  <c r="C28" i="1"/>
  <c r="C29" i="1" a="1"/>
  <c r="C29" i="1"/>
  <c r="C30" i="1" a="1"/>
  <c r="C30" i="1" s="1"/>
  <c r="C31" i="1" a="1"/>
  <c r="C31" i="1" s="1"/>
  <c r="C32" i="1" a="1"/>
  <c r="C32" i="1"/>
  <c r="C33" i="1" a="1"/>
  <c r="C33" i="1"/>
  <c r="C34" i="1" a="1"/>
  <c r="C34" i="1" s="1"/>
  <c r="C35" i="1" a="1"/>
  <c r="C35" i="1" s="1"/>
  <c r="C36" i="1" a="1"/>
  <c r="C36" i="1" s="1"/>
  <c r="C37" i="1" a="1"/>
  <c r="C37" i="1"/>
  <c r="C38" i="1" a="1"/>
  <c r="C38" i="1" s="1"/>
  <c r="C39" i="1" a="1"/>
  <c r="C39" i="1" s="1"/>
  <c r="C40" i="1" a="1"/>
  <c r="C40" i="1" s="1"/>
  <c r="C41" i="1" a="1"/>
  <c r="C41" i="1"/>
  <c r="C42" i="1" a="1"/>
  <c r="C42" i="1" s="1"/>
  <c r="C43" i="1" a="1"/>
  <c r="C43" i="1" s="1"/>
  <c r="C44" i="1" a="1"/>
  <c r="C44" i="1" s="1"/>
  <c r="C45" i="1" a="1"/>
  <c r="C45" i="1"/>
  <c r="C46" i="1" a="1"/>
  <c r="C46" i="1" s="1"/>
  <c r="C47" i="1" a="1"/>
  <c r="C47" i="1" s="1"/>
  <c r="C48" i="1" a="1"/>
  <c r="C48" i="1" s="1"/>
  <c r="C49" i="1" a="1"/>
  <c r="C49" i="1"/>
  <c r="C50" i="1" a="1"/>
  <c r="C50" i="1" s="1"/>
  <c r="C51" i="1" a="1"/>
  <c r="C51" i="1" s="1"/>
  <c r="C52" i="1" a="1"/>
  <c r="C52" i="1" s="1"/>
  <c r="C53" i="1" a="1"/>
  <c r="C53" i="1"/>
  <c r="C54" i="1" a="1"/>
  <c r="C54" i="1" s="1"/>
  <c r="C55" i="1" a="1"/>
  <c r="C55" i="1" s="1"/>
  <c r="C56" i="1" a="1"/>
  <c r="C56" i="1" s="1"/>
  <c r="C57" i="1" a="1"/>
  <c r="C57" i="1"/>
  <c r="C58" i="1" a="1"/>
  <c r="C58" i="1" s="1"/>
  <c r="C59" i="1" a="1"/>
  <c r="C59" i="1" s="1"/>
  <c r="C60" i="1" a="1"/>
  <c r="C60" i="1" s="1"/>
  <c r="C61" i="1" a="1"/>
  <c r="C61" i="1"/>
  <c r="C62" i="1" a="1"/>
  <c r="C62" i="1" s="1"/>
  <c r="C63" i="1" a="1"/>
  <c r="C63" i="1" s="1"/>
  <c r="C64" i="1" a="1"/>
  <c r="C64" i="1" s="1"/>
  <c r="C65" i="1" a="1"/>
  <c r="C65" i="1"/>
  <c r="C66" i="1" a="1"/>
  <c r="C66" i="1" s="1"/>
  <c r="C67" i="1" a="1"/>
  <c r="C67" i="1" s="1"/>
  <c r="C68" i="1" a="1"/>
  <c r="C68" i="1" s="1"/>
  <c r="C69" i="1" a="1"/>
  <c r="C69" i="1"/>
  <c r="C70" i="1" a="1"/>
  <c r="C70" i="1" s="1"/>
  <c r="C71" i="1" a="1"/>
  <c r="C71" i="1" s="1"/>
  <c r="C72" i="1" a="1"/>
  <c r="C72" i="1" s="1"/>
  <c r="C73" i="1" a="1"/>
  <c r="C73" i="1"/>
  <c r="C74" i="1" a="1"/>
  <c r="C74" i="1" s="1"/>
  <c r="C75" i="1" a="1"/>
  <c r="C75" i="1" s="1"/>
  <c r="C76" i="1" a="1"/>
  <c r="C76" i="1" s="1"/>
  <c r="C77" i="1" a="1"/>
  <c r="C77" i="1"/>
  <c r="C78" i="1" a="1"/>
  <c r="C78" i="1" s="1"/>
  <c r="C79" i="1" a="1"/>
  <c r="C79" i="1" s="1"/>
  <c r="C80" i="1" a="1"/>
  <c r="C80" i="1" s="1"/>
  <c r="C81" i="1" a="1"/>
  <c r="C81" i="1"/>
  <c r="C82" i="1" a="1"/>
  <c r="C82" i="1" s="1"/>
  <c r="C83" i="1" a="1"/>
  <c r="C83" i="1" s="1"/>
  <c r="C84" i="1" a="1"/>
  <c r="C84" i="1" s="1"/>
  <c r="C85" i="1" a="1"/>
  <c r="C85" i="1"/>
  <c r="C86" i="1" a="1"/>
  <c r="C86" i="1" s="1"/>
  <c r="C87" i="1" a="1"/>
  <c r="C87" i="1" s="1"/>
  <c r="C88" i="1" a="1"/>
  <c r="C88" i="1" s="1"/>
  <c r="C89" i="1" a="1"/>
  <c r="C89" i="1"/>
  <c r="C90" i="1" a="1"/>
  <c r="C90" i="1" s="1"/>
  <c r="C91" i="1" a="1"/>
  <c r="C91" i="1" s="1"/>
  <c r="C92" i="1" a="1"/>
  <c r="C92" i="1" s="1"/>
  <c r="C93" i="1" a="1"/>
  <c r="C93" i="1"/>
  <c r="C94" i="1" a="1"/>
  <c r="C94" i="1" s="1"/>
  <c r="C95" i="1" a="1"/>
  <c r="C95" i="1" s="1"/>
  <c r="C96" i="1" a="1"/>
  <c r="C96" i="1" s="1"/>
  <c r="C97" i="1" a="1"/>
  <c r="C97" i="1"/>
  <c r="C98" i="1" a="1"/>
  <c r="C98" i="1" s="1"/>
  <c r="C99" i="1" a="1"/>
  <c r="C99" i="1" s="1"/>
  <c r="C100" i="1" a="1"/>
  <c r="C100" i="1" s="1"/>
  <c r="C101" i="1" a="1"/>
  <c r="C1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<sst xmlns="http://schemas.openxmlformats.org/spreadsheetml/2006/main" count="172" uniqueCount="121">
  <si>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</si>
  <si>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</si>
  <si>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</si>
  <si>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</si>
  <si>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</si>
  <si>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</si>
  <si>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</si>
  <si>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</si>
  <si>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</si>
  <si>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</si>
  <si>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</si>
  <si>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</si>
  <si>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</si>
  <si>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</si>
  <si>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</si>
  <si>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</si>
  <si>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</si>
  <si>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</si>
  <si>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</si>
  <si>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</si>
  <si>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</si>
  <si>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</si>
  <si>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</si>
  <si>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</si>
  <si>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</si>
  <si>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</si>
  <si>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</si>
  <si>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</si>
  <si>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</si>
  <si>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</si>
  <si>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</si>
  <si>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</si>
  <si>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</si>
  <si>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</si>
  <si>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</si>
  <si>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</si>
  <si>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</si>
  <si>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</si>
  <si>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</si>
  <si>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</si>
  <si>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</si>
  <si>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</si>
  <si>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</si>
  <si>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</si>
  <si>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</si>
  <si>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</si>
  <si>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</si>
  <si>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</si>
  <si>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</si>
  <si>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</si>
  <si>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</si>
  <si>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</si>
  <si>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</si>
  <si>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</si>
  <si>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</si>
  <si>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</si>
  <si>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</si>
  <si>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</si>
  <si>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</si>
  <si>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</si>
  <si>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</si>
  <si>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</si>
  <si>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</si>
  <si>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</si>
  <si>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</si>
  <si>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</si>
  <si>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</si>
  <si>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</si>
  <si>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</si>
  <si>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</si>
  <si>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</si>
  <si>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</si>
  <si>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</si>
  <si>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</si>
  <si>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</si>
  <si>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</si>
  <si>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</si>
  <si>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</si>
  <si>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</si>
  <si>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</si>
  <si>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</si>
  <si>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</si>
  <si>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</si>
  <si>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</si>
  <si>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</si>
  <si>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</si>
  <si>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</si>
  <si>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</si>
  <si>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</si>
  <si>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</si>
  <si>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</si>
  <si>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</si>
  <si>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</si>
  <si>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</si>
  <si>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</si>
  <si>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</si>
  <si>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</si>
  <si>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</si>
  <si>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</si>
  <si>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</si>
  <si>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</si>
  <si>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</si>
  <si>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</si>
  <si>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</si>
  <si>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</si>
  <si>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</si>
  <si>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</si>
  <si>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</si>
  <si>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</si>
  <si>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</si>
  <si>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Indicazione costi</t>
  </si>
  <si>
    <t>CATEGORIA</t>
  </si>
  <si>
    <t>TEMPO</t>
  </si>
  <si>
    <t>60 min</t>
  </si>
  <si>
    <t>0</t>
  </si>
  <si>
    <t>1</t>
  </si>
  <si>
    <t>2</t>
  </si>
  <si>
    <t>Soggetto</t>
  </si>
  <si>
    <t>Conteggio</t>
  </si>
  <si>
    <t>Peso totale</t>
  </si>
  <si>
    <t>Costo totale mela se peso 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</si>
</sst>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44" fontId="0" fillId="0" borderId="1" xfId="1" applyFont="1" applyBorder="1"/>
    <xf numFmtId="49" fontId="5" fillId="0" borderId="1" xfId="0" applyNumberFormat="1" applyFont="1" applyBorder="1"/>
    <xf numFmtId="44" fontId="0" fillId="0" borderId="0" xfId="1" applyFont="1"/>
    <xf numFmtId="44" fontId="2" fillId="0" borderId="0" xfId="1" applyFont="1"/>
    <xf numFmtId="1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opLeftCell="B1" workbookViewId="0">
      <selection activeCell="D2" sqref="D2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1" t="s">
        <v>110</v>
      </c>
      <c r="G1" s="12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</v>
      </c>
      <c r="B2" s="2">
        <v>1.5</v>
      </c>
      <c r="C2" t="str" cm="1">
        <f t="array" ref="C2">_xlfn.IFS(LEFT(A2,1)&lt;="F","0",LEFT(A2,1)&lt;="M","1",LEFT(A2,1)&lt;="Z","2")</f>
        <v>0</v>
      </c>
      <c r="D2" s="8" cm="1">
        <f t="array" ref="D2">_xlfn.IFS(C2=$F$3,B2*$H$3,C2=$F$4,B2*$H$4,C2=$F$5,B2*$H$5)</f>
        <v>6</v>
      </c>
      <c r="F2" s="5" t="s">
        <v>111</v>
      </c>
      <c r="G2" s="5" t="s">
        <v>112</v>
      </c>
      <c r="H2" s="5" t="s">
        <v>3</v>
      </c>
    </row>
    <row r="3" spans="1:26" ht="15.75" customHeight="1" x14ac:dyDescent="0.15">
      <c r="A3" s="2" t="s">
        <v>5</v>
      </c>
      <c r="B3" s="2">
        <v>2.5</v>
      </c>
      <c r="C3" t="str" cm="1">
        <f t="array" ref="C3">_xlfn.IFS(LEFT(A3,1)&lt;="F","0",LEFT(A3,1)&lt;="M","1",LEFT(A3,1)&lt;="Z","2")</f>
        <v>1</v>
      </c>
      <c r="D3" s="8" cm="1">
        <f t="array" ref="D3">_xlfn.IFS(C3=$F$3,B3*$H$3,C3=$F$4,B3*$H$4,C3=$F$5,B3*$H$5)</f>
        <v>7.5</v>
      </c>
      <c r="F3" s="7" t="s">
        <v>114</v>
      </c>
      <c r="G3" s="4" t="s">
        <v>113</v>
      </c>
      <c r="H3" s="6">
        <v>4</v>
      </c>
    </row>
    <row r="4" spans="1:26" ht="15.75" customHeight="1" x14ac:dyDescent="0.15">
      <c r="A4" s="2" t="s">
        <v>6</v>
      </c>
      <c r="B4" s="2">
        <v>3.5</v>
      </c>
      <c r="C4" t="str" cm="1">
        <f t="array" ref="C4">_xlfn.IFS(LEFT(A4,1)&lt;="F","0",LEFT(A4,1)&lt;="M","1",LEFT(A4,1)&lt;="Z","2")</f>
        <v>2</v>
      </c>
      <c r="D4" s="8" cm="1">
        <f t="array" ref="D4">_xlfn.IFS(C4=$F$3,B4*$H$3,C4=$F$4,B4*$H$4,C4=$F$5,B4*$H$5)</f>
        <v>7</v>
      </c>
      <c r="F4" s="7" t="s">
        <v>115</v>
      </c>
      <c r="G4" s="4" t="s">
        <v>113</v>
      </c>
      <c r="H4" s="6">
        <v>3</v>
      </c>
    </row>
    <row r="5" spans="1:26" ht="15.75" customHeight="1" x14ac:dyDescent="0.15">
      <c r="A5" s="2" t="s">
        <v>7</v>
      </c>
      <c r="B5" s="2">
        <v>4.5</v>
      </c>
      <c r="C5" t="str" cm="1">
        <f t="array" ref="C5">_xlfn.IFS(LEFT(A5,1)&lt;="F","0",LEFT(A5,1)&lt;="M","1",LEFT(A5,1)&lt;="Z","2")</f>
        <v>2</v>
      </c>
      <c r="D5" s="8" cm="1">
        <f t="array" ref="D5">_xlfn.IFS(C5=$F$3,B5*$H$3,C5=$F$4,B5*$H$4,C5=$F$5,B5*$H$5)</f>
        <v>9</v>
      </c>
      <c r="F5" s="7" t="s">
        <v>116</v>
      </c>
      <c r="G5" s="4" t="s">
        <v>113</v>
      </c>
      <c r="H5" s="6">
        <v>2</v>
      </c>
    </row>
    <row r="6" spans="1:26" ht="15.75" customHeight="1" x14ac:dyDescent="0.15">
      <c r="A6" s="2" t="s">
        <v>8</v>
      </c>
      <c r="B6" s="2">
        <v>5.5</v>
      </c>
      <c r="C6" t="str" cm="1">
        <f t="array" ref="C6">_xlfn.IFS(LEFT(A6,1)&lt;="F","0",LEFT(A6,1)&lt;="M","1",LEFT(A6,1)&lt;="Z","2")</f>
        <v>2</v>
      </c>
      <c r="D6" s="8" cm="1">
        <f t="array" ref="D6">_xlfn.IFS(C6=$F$3,B6*$H$3,C6=$F$4,B6*$H$4,C6=$F$5,B6*$H$5)</f>
        <v>11</v>
      </c>
    </row>
    <row r="7" spans="1:26" ht="15.75" customHeight="1" x14ac:dyDescent="0.15">
      <c r="A7" s="2" t="s">
        <v>9</v>
      </c>
      <c r="B7" s="2">
        <v>6.5</v>
      </c>
      <c r="C7" t="str" cm="1">
        <f t="array" ref="C7">_xlfn.IFS(LEFT(A7,1)&lt;="F","0",LEFT(A7,1)&lt;="M","1",LEFT(A7,1)&lt;="Z","2")</f>
        <v>2</v>
      </c>
      <c r="D7" s="8" cm="1">
        <f t="array" ref="D7">_xlfn.IFS(C7=$F$3,B7*$H$3,C7=$F$4,B7*$H$4,C7=$F$5,B7*$H$5)</f>
        <v>13</v>
      </c>
    </row>
    <row r="8" spans="1:26" ht="15.75" customHeight="1" x14ac:dyDescent="0.15">
      <c r="A8" s="2" t="s">
        <v>10</v>
      </c>
      <c r="B8" s="2">
        <v>7.5</v>
      </c>
      <c r="C8" t="str" cm="1">
        <f t="array" ref="C8">_xlfn.IFS(LEFT(A8,1)&lt;="F","0",LEFT(A8,1)&lt;="M","1",LEFT(A8,1)&lt;="Z","2")</f>
        <v>0</v>
      </c>
      <c r="D8" s="8" cm="1">
        <f t="array" ref="D8">_xlfn.IFS(C8=$F$3,B8*$H$3,C8=$F$4,B8*$H$4,C8=$F$5,B8*$H$5)</f>
        <v>30</v>
      </c>
    </row>
    <row r="9" spans="1:26" ht="15.75" customHeight="1" x14ac:dyDescent="0.15">
      <c r="A9" s="2" t="s">
        <v>11</v>
      </c>
      <c r="B9" s="2">
        <v>8.5</v>
      </c>
      <c r="C9" t="str" cm="1">
        <f t="array" ref="C9">_xlfn.IFS(LEFT(A9,1)&lt;="F","0",LEFT(A9,1)&lt;="M","1",LEFT(A9,1)&lt;="Z","2")</f>
        <v>0</v>
      </c>
      <c r="D9" s="8" cm="1">
        <f t="array" ref="D9">_xlfn.IFS(C9=$F$3,B9*$H$3,C9=$F$4,B9*$H$4,C9=$F$5,B9*$H$5)</f>
        <v>34</v>
      </c>
    </row>
    <row r="10" spans="1:26" ht="15.75" customHeight="1" x14ac:dyDescent="0.15">
      <c r="A10" s="2" t="s">
        <v>12</v>
      </c>
      <c r="B10" s="2">
        <v>9.5</v>
      </c>
      <c r="C10" t="str" cm="1">
        <f t="array" ref="C10">_xlfn.IFS(LEFT(A10,1)&lt;="F","0",LEFT(A10,1)&lt;="M","1",LEFT(A10,1)&lt;="Z","2")</f>
        <v>0</v>
      </c>
      <c r="D10" s="8" cm="1">
        <f t="array" ref="D10">_xlfn.IFS(C10=$F$3,B10*$H$3,C10=$F$4,B10*$H$4,C10=$F$5,B10*$H$5)</f>
        <v>38</v>
      </c>
    </row>
    <row r="11" spans="1:26" ht="15.75" customHeight="1" x14ac:dyDescent="0.15">
      <c r="A11" s="2" t="s">
        <v>13</v>
      </c>
      <c r="B11" s="2">
        <v>10</v>
      </c>
      <c r="C11" t="str" cm="1">
        <f t="array" ref="C11">_xlfn.IFS(LEFT(A11,1)&lt;="F","0",LEFT(A11,1)&lt;="M","1",LEFT(A11,1)&lt;="Z","2")</f>
        <v>1</v>
      </c>
      <c r="D11" s="8" cm="1">
        <f t="array" ref="D11">_xlfn.IFS(C11=$F$3,B11*$H$3,C11=$F$4,B11*$H$4,C11=$F$5,B11*$H$5)</f>
        <v>30</v>
      </c>
    </row>
    <row r="12" spans="1:26" ht="15.75" customHeight="1" x14ac:dyDescent="0.15">
      <c r="A12" s="2" t="s">
        <v>14</v>
      </c>
      <c r="B12" s="2">
        <v>0.5</v>
      </c>
      <c r="C12" t="str" cm="1">
        <f t="array" ref="C12">_xlfn.IFS(LEFT(A12,1)&lt;="F","0",LEFT(A12,1)&lt;="M","1",LEFT(A12,1)&lt;="Z","2")</f>
        <v>1</v>
      </c>
      <c r="D12" s="8" cm="1">
        <f t="array" ref="D12">_xlfn.IFS(C12=$F$3,B12*$H$3,C12=$F$4,B12*$H$4,C12=$F$5,B12*$H$5)</f>
        <v>1.5</v>
      </c>
    </row>
    <row r="13" spans="1:26" ht="15.75" customHeight="1" x14ac:dyDescent="0.15">
      <c r="A13" s="2" t="s">
        <v>15</v>
      </c>
      <c r="B13" s="2">
        <v>1</v>
      </c>
      <c r="C13" t="str" cm="1">
        <f t="array" ref="C13">_xlfn.IFS(LEFT(A13,1)&lt;="F","0",LEFT(A13,1)&lt;="M","1",LEFT(A13,1)&lt;="Z","2")</f>
        <v>1</v>
      </c>
      <c r="D13" s="8" cm="1">
        <f t="array" ref="D13">_xlfn.IFS(C13=$F$3,B13*$H$3,C13=$F$4,B13*$H$4,C13=$F$5,B13*$H$5)</f>
        <v>3</v>
      </c>
    </row>
    <row r="14" spans="1:26" ht="15.75" customHeight="1" x14ac:dyDescent="0.15">
      <c r="A14" s="2" t="s">
        <v>16</v>
      </c>
      <c r="B14" s="2">
        <v>2</v>
      </c>
      <c r="C14" t="str" cm="1">
        <f t="array" ref="C14">_xlfn.IFS(LEFT(A14,1)&lt;="F","0",LEFT(A14,1)&lt;="M","1",LEFT(A14,1)&lt;="Z","2")</f>
        <v>1</v>
      </c>
      <c r="D14" s="8" cm="1">
        <f t="array" ref="D14">_xlfn.IFS(C14=$F$3,B14*$H$3,C14=$F$4,B14*$H$4,C14=$F$5,B14*$H$5)</f>
        <v>6</v>
      </c>
    </row>
    <row r="15" spans="1:26" ht="15.75" customHeight="1" x14ac:dyDescent="0.15">
      <c r="A15" s="2" t="s">
        <v>17</v>
      </c>
      <c r="B15" s="2">
        <v>3</v>
      </c>
      <c r="C15" t="str" cm="1">
        <f t="array" ref="C15">_xlfn.IFS(LEFT(A15,1)&lt;="F","0",LEFT(A15,1)&lt;="M","1",LEFT(A15,1)&lt;="Z","2")</f>
        <v>2</v>
      </c>
      <c r="D15" s="8" cm="1">
        <f t="array" ref="D15">_xlfn.IFS(C15=$F$3,B15*$H$3,C15=$F$4,B15*$H$4,C15=$F$5,B15*$H$5)</f>
        <v>6</v>
      </c>
    </row>
    <row r="16" spans="1:26" ht="15.75" customHeight="1" x14ac:dyDescent="0.15">
      <c r="A16" s="2" t="s">
        <v>18</v>
      </c>
      <c r="B16" s="2">
        <v>4</v>
      </c>
      <c r="C16" t="str" cm="1">
        <f t="array" ref="C16">_xlfn.IFS(LEFT(A16,1)&lt;="F","0",LEFT(A16,1)&lt;="M","1",LEFT(A16,1)&lt;="Z","2")</f>
        <v>2</v>
      </c>
      <c r="D16" s="8" cm="1">
        <f t="array" ref="D16">_xlfn.IFS(C16=$F$3,B16*$H$3,C16=$F$4,B16*$H$4,C16=$F$5,B16*$H$5)</f>
        <v>8</v>
      </c>
    </row>
    <row r="17" spans="1:4" ht="15.75" customHeight="1" x14ac:dyDescent="0.15">
      <c r="A17" s="2" t="s">
        <v>19</v>
      </c>
      <c r="B17" s="2">
        <v>5</v>
      </c>
      <c r="C17" t="str" cm="1">
        <f t="array" ref="C17">_xlfn.IFS(LEFT(A17,1)&lt;="F","0",LEFT(A17,1)&lt;="M","1",LEFT(A17,1)&lt;="Z","2")</f>
        <v>2</v>
      </c>
      <c r="D17" s="8" cm="1">
        <f t="array" ref="D17">_xlfn.IFS(C17=$F$3,B17*$H$3,C17=$F$4,B17*$H$4,C17=$F$5,B17*$H$5)</f>
        <v>10</v>
      </c>
    </row>
    <row r="18" spans="1:4" ht="15.75" customHeight="1" x14ac:dyDescent="0.15">
      <c r="A18" s="2" t="s">
        <v>20</v>
      </c>
      <c r="B18" s="2">
        <v>6</v>
      </c>
      <c r="C18" t="str" cm="1">
        <f t="array" ref="C18">_xlfn.IFS(LEFT(A18,1)&lt;="F","0",LEFT(A18,1)&lt;="M","1",LEFT(A18,1)&lt;="Z","2")</f>
        <v>2</v>
      </c>
      <c r="D18" s="8" cm="1">
        <f t="array" ref="D18">_xlfn.IFS(C18=$F$3,B18*$H$3,C18=$F$4,B18*$H$4,C18=$F$5,B18*$H$5)</f>
        <v>12</v>
      </c>
    </row>
    <row r="19" spans="1:4" ht="15.75" customHeight="1" x14ac:dyDescent="0.15">
      <c r="A19" s="2" t="s">
        <v>21</v>
      </c>
      <c r="B19" s="2">
        <v>7</v>
      </c>
      <c r="C19" t="str" cm="1">
        <f t="array" ref="C19">_xlfn.IFS(LEFT(A19,1)&lt;="F","0",LEFT(A19,1)&lt;="M","1",LEFT(A19,1)&lt;="Z","2")</f>
        <v>2</v>
      </c>
      <c r="D19" s="8" cm="1">
        <f t="array" ref="D19">_xlfn.IFS(C19=$F$3,B19*$H$3,C19=$F$4,B19*$H$4,C19=$F$5,B19*$H$5)</f>
        <v>14</v>
      </c>
    </row>
    <row r="20" spans="1:4" ht="15.75" customHeight="1" x14ac:dyDescent="0.15">
      <c r="A20" s="2" t="s">
        <v>22</v>
      </c>
      <c r="B20" s="2">
        <v>8</v>
      </c>
      <c r="C20" t="str" cm="1">
        <f t="array" ref="C20">_xlfn.IFS(LEFT(A20,1)&lt;="F","0",LEFT(A20,1)&lt;="M","1",LEFT(A20,1)&lt;="Z","2")</f>
        <v>2</v>
      </c>
      <c r="D20" s="8" cm="1">
        <f t="array" ref="D20">_xlfn.IFS(C20=$F$3,B20*$H$3,C20=$F$4,B20*$H$4,C20=$F$5,B20*$H$5)</f>
        <v>16</v>
      </c>
    </row>
    <row r="21" spans="1:4" ht="15.75" customHeight="1" x14ac:dyDescent="0.15">
      <c r="A21" s="2" t="s">
        <v>23</v>
      </c>
      <c r="B21" s="2">
        <v>9</v>
      </c>
      <c r="C21" t="str" cm="1">
        <f t="array" ref="C21">_xlfn.IFS(LEFT(A21,1)&lt;="F","0",LEFT(A21,1)&lt;="M","1",LEFT(A21,1)&lt;="Z","2")</f>
        <v>0</v>
      </c>
      <c r="D21" s="8" cm="1">
        <f t="array" ref="D21">_xlfn.IFS(C21=$F$3,B21*$H$3,C21=$F$4,B21*$H$4,C21=$F$5,B21*$H$5)</f>
        <v>36</v>
      </c>
    </row>
    <row r="22" spans="1:4" ht="15.75" customHeight="1" x14ac:dyDescent="0.15">
      <c r="A22" s="2" t="s">
        <v>24</v>
      </c>
      <c r="B22" s="2">
        <v>10</v>
      </c>
      <c r="C22" t="str" cm="1">
        <f t="array" ref="C22">_xlfn.IFS(LEFT(A22,1)&lt;="F","0",LEFT(A22,1)&lt;="M","1",LEFT(A22,1)&lt;="Z","2")</f>
        <v>0</v>
      </c>
      <c r="D22" s="8" cm="1">
        <f t="array" ref="D22">_xlfn.IFS(C22=$F$3,B22*$H$3,C22=$F$4,B22*$H$4,C22=$F$5,B22*$H$5)</f>
        <v>40</v>
      </c>
    </row>
    <row r="23" spans="1:4" ht="15.75" customHeight="1" x14ac:dyDescent="0.15">
      <c r="A23" s="2" t="s">
        <v>25</v>
      </c>
      <c r="B23" s="2">
        <v>0.5</v>
      </c>
      <c r="C23" t="str" cm="1">
        <f t="array" ref="C23">_xlfn.IFS(LEFT(A23,1)&lt;="F","0",LEFT(A23,1)&lt;="M","1",LEFT(A23,1)&lt;="Z","2")</f>
        <v>0</v>
      </c>
      <c r="D23" s="8" cm="1">
        <f t="array" ref="D23">_xlfn.IFS(C23=$F$3,B23*$H$3,C23=$F$4,B23*$H$4,C23=$F$5,B23*$H$5)</f>
        <v>2</v>
      </c>
    </row>
    <row r="24" spans="1:4" ht="15.75" customHeight="1" x14ac:dyDescent="0.15">
      <c r="A24" s="2" t="s">
        <v>26</v>
      </c>
      <c r="B24" s="2">
        <v>1</v>
      </c>
      <c r="C24" t="str" cm="1">
        <f t="array" ref="C24">_xlfn.IFS(LEFT(A24,1)&lt;="F","0",LEFT(A24,1)&lt;="M","1",LEFT(A24,1)&lt;="Z","2")</f>
        <v>1</v>
      </c>
      <c r="D24" s="8" cm="1">
        <f t="array" ref="D24">_xlfn.IFS(C24=$F$3,B24*$H$3,C24=$F$4,B24*$H$4,C24=$F$5,B24*$H$5)</f>
        <v>3</v>
      </c>
    </row>
    <row r="25" spans="1:4" ht="15.75" customHeight="1" x14ac:dyDescent="0.15">
      <c r="A25" s="2" t="s">
        <v>27</v>
      </c>
      <c r="B25" s="2">
        <v>2</v>
      </c>
      <c r="C25" t="str" cm="1">
        <f t="array" ref="C25">_xlfn.IFS(LEFT(A25,1)&lt;="F","0",LEFT(A25,1)&lt;="M","1",LEFT(A25,1)&lt;="Z","2")</f>
        <v>1</v>
      </c>
      <c r="D25" s="8" cm="1">
        <f t="array" ref="D25">_xlfn.IFS(C25=$F$3,B25*$H$3,C25=$F$4,B25*$H$4,C25=$F$5,B25*$H$5)</f>
        <v>6</v>
      </c>
    </row>
    <row r="26" spans="1:4" ht="15.75" customHeight="1" x14ac:dyDescent="0.15">
      <c r="A26" s="2" t="s">
        <v>28</v>
      </c>
      <c r="B26" s="2">
        <v>3</v>
      </c>
      <c r="C26" t="str" cm="1">
        <f t="array" ref="C26">_xlfn.IFS(LEFT(A26,1)&lt;="F","0",LEFT(A26,1)&lt;="M","1",LEFT(A26,1)&lt;="Z","2")</f>
        <v>1</v>
      </c>
      <c r="D26" s="8" cm="1">
        <f t="array" ref="D26">_xlfn.IFS(C26=$F$3,B26*$H$3,C26=$F$4,B26*$H$4,C26=$F$5,B26*$H$5)</f>
        <v>9</v>
      </c>
    </row>
    <row r="27" spans="1:4" ht="15.75" customHeight="1" x14ac:dyDescent="0.15">
      <c r="A27" s="2" t="s">
        <v>29</v>
      </c>
      <c r="B27" s="2">
        <v>4</v>
      </c>
      <c r="C27" t="str" cm="1">
        <f t="array" ref="C27">_xlfn.IFS(LEFT(A27,1)&lt;="F","0",LEFT(A27,1)&lt;="M","1",LEFT(A27,1)&lt;="Z","2")</f>
        <v>1</v>
      </c>
      <c r="D27" s="8" cm="1">
        <f t="array" ref="D27">_xlfn.IFS(C27=$F$3,B27*$H$3,C27=$F$4,B27*$H$4,C27=$F$5,B27*$H$5)</f>
        <v>12</v>
      </c>
    </row>
    <row r="28" spans="1:4" ht="15.75" customHeight="1" x14ac:dyDescent="0.15">
      <c r="A28" s="2" t="s">
        <v>30</v>
      </c>
      <c r="B28" s="2">
        <v>5</v>
      </c>
      <c r="C28" t="str" cm="1">
        <f t="array" ref="C28">_xlfn.IFS(LEFT(A28,1)&lt;="F","0",LEFT(A28,1)&lt;="M","1",LEFT(A28,1)&lt;="Z","2")</f>
        <v>2</v>
      </c>
      <c r="D28" s="8" cm="1">
        <f t="array" ref="D28">_xlfn.IFS(C28=$F$3,B28*$H$3,C28=$F$4,B28*$H$4,C28=$F$5,B28*$H$5)</f>
        <v>10</v>
      </c>
    </row>
    <row r="29" spans="1:4" ht="15.75" customHeight="1" x14ac:dyDescent="0.15">
      <c r="A29" s="2" t="s">
        <v>31</v>
      </c>
      <c r="B29" s="2">
        <v>6</v>
      </c>
      <c r="C29" t="str" cm="1">
        <f t="array" ref="C29">_xlfn.IFS(LEFT(A29,1)&lt;="F","0",LEFT(A29,1)&lt;="M","1",LEFT(A29,1)&lt;="Z","2")</f>
        <v>2</v>
      </c>
      <c r="D29" s="8" cm="1">
        <f t="array" ref="D29">_xlfn.IFS(C29=$F$3,B29*$H$3,C29=$F$4,B29*$H$4,C29=$F$5,B29*$H$5)</f>
        <v>12</v>
      </c>
    </row>
    <row r="30" spans="1:4" ht="15.75" customHeight="1" x14ac:dyDescent="0.15">
      <c r="A30" s="2" t="s">
        <v>32</v>
      </c>
      <c r="B30" s="2">
        <v>7</v>
      </c>
      <c r="C30" t="str" cm="1">
        <f t="array" ref="C30">_xlfn.IFS(LEFT(A30,1)&lt;="F","0",LEFT(A30,1)&lt;="M","1",LEFT(A30,1)&lt;="Z","2")</f>
        <v>2</v>
      </c>
      <c r="D30" s="8" cm="1">
        <f t="array" ref="D30">_xlfn.IFS(C30=$F$3,B30*$H$3,C30=$F$4,B30*$H$4,C30=$F$5,B30*$H$5)</f>
        <v>14</v>
      </c>
    </row>
    <row r="31" spans="1:4" ht="15.75" customHeight="1" x14ac:dyDescent="0.15">
      <c r="A31" s="2" t="s">
        <v>33</v>
      </c>
      <c r="B31" s="2">
        <v>8</v>
      </c>
      <c r="C31" t="str" cm="1">
        <f t="array" ref="C31">_xlfn.IFS(LEFT(A31,1)&lt;="F","0",LEFT(A31,1)&lt;="M","1",LEFT(A31,1)&lt;="Z","2")</f>
        <v>2</v>
      </c>
      <c r="D31" s="8" cm="1">
        <f t="array" ref="D31">_xlfn.IFS(C31=$F$3,B31*$H$3,C31=$F$4,B31*$H$4,C31=$F$5,B31*$H$5)</f>
        <v>16</v>
      </c>
    </row>
    <row r="32" spans="1:4" ht="15.75" customHeight="1" x14ac:dyDescent="0.15">
      <c r="A32" s="2" t="s">
        <v>34</v>
      </c>
      <c r="B32" s="2">
        <v>9</v>
      </c>
      <c r="C32" t="str" cm="1">
        <f t="array" ref="C32">_xlfn.IFS(LEFT(A32,1)&lt;="F","0",LEFT(A32,1)&lt;="M","1",LEFT(A32,1)&lt;="Z","2")</f>
        <v>2</v>
      </c>
      <c r="D32" s="8" cm="1">
        <f t="array" ref="D32">_xlfn.IFS(C32=$F$3,B32*$H$3,C32=$F$4,B32*$H$4,C32=$F$5,B32*$H$5)</f>
        <v>18</v>
      </c>
    </row>
    <row r="33" spans="1:4" ht="15.75" customHeight="1" x14ac:dyDescent="0.15">
      <c r="A33" s="2" t="s">
        <v>35</v>
      </c>
      <c r="B33" s="2">
        <v>10</v>
      </c>
      <c r="C33" t="str" cm="1">
        <f t="array" ref="C33">_xlfn.IFS(LEFT(A33,1)&lt;="F","0",LEFT(A33,1)&lt;="M","1",LEFT(A33,1)&lt;="Z","2")</f>
        <v>2</v>
      </c>
      <c r="D33" s="8" cm="1">
        <f t="array" ref="D33">_xlfn.IFS(C33=$F$3,B33*$H$3,C33=$F$4,B33*$H$4,C33=$F$5,B33*$H$5)</f>
        <v>20</v>
      </c>
    </row>
    <row r="34" spans="1:4" ht="15.75" customHeight="1" x14ac:dyDescent="0.15">
      <c r="A34" s="2" t="s">
        <v>36</v>
      </c>
      <c r="B34" s="2">
        <v>0.5</v>
      </c>
      <c r="C34" t="str" cm="1">
        <f t="array" ref="C34">_xlfn.IFS(LEFT(A34,1)&lt;="F","0",LEFT(A34,1)&lt;="M","1",LEFT(A34,1)&lt;="Z","2")</f>
        <v>0</v>
      </c>
      <c r="D34" s="8" cm="1">
        <f t="array" ref="D34">_xlfn.IFS(C34=$F$3,B34*$H$3,C34=$F$4,B34*$H$4,C34=$F$5,B34*$H$5)</f>
        <v>2</v>
      </c>
    </row>
    <row r="35" spans="1:4" ht="15.75" customHeight="1" x14ac:dyDescent="0.15">
      <c r="A35" s="2" t="s">
        <v>37</v>
      </c>
      <c r="B35" s="2">
        <v>1</v>
      </c>
      <c r="C35" t="str" cm="1">
        <f t="array" ref="C35">_xlfn.IFS(LEFT(A35,1)&lt;="F","0",LEFT(A35,1)&lt;="M","1",LEFT(A35,1)&lt;="Z","2")</f>
        <v>0</v>
      </c>
      <c r="D35" s="8" cm="1">
        <f t="array" ref="D35">_xlfn.IFS(C35=$F$3,B35*$H$3,C35=$F$4,B35*$H$4,C35=$F$5,B35*$H$5)</f>
        <v>4</v>
      </c>
    </row>
    <row r="36" spans="1:4" ht="15.75" customHeight="1" x14ac:dyDescent="0.15">
      <c r="A36" s="2" t="s">
        <v>38</v>
      </c>
      <c r="B36" s="2">
        <v>2</v>
      </c>
      <c r="C36" t="str" cm="1">
        <f t="array" ref="C36">_xlfn.IFS(LEFT(A36,1)&lt;="F","0",LEFT(A36,1)&lt;="M","1",LEFT(A36,1)&lt;="Z","2")</f>
        <v>0</v>
      </c>
      <c r="D36" s="8" cm="1">
        <f t="array" ref="D36">_xlfn.IFS(C36=$F$3,B36*$H$3,C36=$F$4,B36*$H$4,C36=$F$5,B36*$H$5)</f>
        <v>8</v>
      </c>
    </row>
    <row r="37" spans="1:4" ht="15.75" customHeight="1" x14ac:dyDescent="0.15">
      <c r="A37" s="2" t="s">
        <v>39</v>
      </c>
      <c r="B37" s="2">
        <v>3</v>
      </c>
      <c r="C37" t="str" cm="1">
        <f t="array" ref="C37">_xlfn.IFS(LEFT(A37,1)&lt;="F","0",LEFT(A37,1)&lt;="M","1",LEFT(A37,1)&lt;="Z","2")</f>
        <v>1</v>
      </c>
      <c r="D37" s="8" cm="1">
        <f t="array" ref="D37">_xlfn.IFS(C37=$F$3,B37*$H$3,C37=$F$4,B37*$H$4,C37=$F$5,B37*$H$5)</f>
        <v>9</v>
      </c>
    </row>
    <row r="38" spans="1:4" ht="15.75" customHeight="1" x14ac:dyDescent="0.15">
      <c r="A38" s="2" t="s">
        <v>40</v>
      </c>
      <c r="B38" s="2">
        <v>4</v>
      </c>
      <c r="C38" t="str" cm="1">
        <f t="array" ref="C38">_xlfn.IFS(LEFT(A38,1)&lt;="F","0",LEFT(A38,1)&lt;="M","1",LEFT(A38,1)&lt;="Z","2")</f>
        <v>1</v>
      </c>
      <c r="D38" s="8" cm="1">
        <f t="array" ref="D38">_xlfn.IFS(C38=$F$3,B38*$H$3,C38=$F$4,B38*$H$4,C38=$F$5,B38*$H$5)</f>
        <v>12</v>
      </c>
    </row>
    <row r="39" spans="1:4" ht="15.75" customHeight="1" x14ac:dyDescent="0.15">
      <c r="A39" s="2" t="s">
        <v>41</v>
      </c>
      <c r="B39" s="2">
        <v>5</v>
      </c>
      <c r="C39" t="str" cm="1">
        <f t="array" ref="C39">_xlfn.IFS(LEFT(A39,1)&lt;="F","0",LEFT(A39,1)&lt;="M","1",LEFT(A39,1)&lt;="Z","2")</f>
        <v>1</v>
      </c>
      <c r="D39" s="8" cm="1">
        <f t="array" ref="D39">_xlfn.IFS(C39=$F$3,B39*$H$3,C39=$F$4,B39*$H$4,C39=$F$5,B39*$H$5)</f>
        <v>15</v>
      </c>
    </row>
    <row r="40" spans="1:4" ht="15.75" customHeight="1" x14ac:dyDescent="0.15">
      <c r="A40" s="2" t="s">
        <v>42</v>
      </c>
      <c r="B40" s="2">
        <v>6</v>
      </c>
      <c r="C40" t="str" cm="1">
        <f t="array" ref="C40">_xlfn.IFS(LEFT(A40,1)&lt;="F","0",LEFT(A40,1)&lt;="M","1",LEFT(A40,1)&lt;="Z","2")</f>
        <v>1</v>
      </c>
      <c r="D40" s="8" cm="1">
        <f t="array" ref="D40">_xlfn.IFS(C40=$F$3,B40*$H$3,C40=$F$4,B40*$H$4,C40=$F$5,B40*$H$5)</f>
        <v>18</v>
      </c>
    </row>
    <row r="41" spans="1:4" ht="15.75" customHeight="1" x14ac:dyDescent="0.15">
      <c r="A41" s="2" t="s">
        <v>43</v>
      </c>
      <c r="B41" s="2">
        <v>7</v>
      </c>
      <c r="C41" t="str" cm="1">
        <f t="array" ref="C41">_xlfn.IFS(LEFT(A41,1)&lt;="F","0",LEFT(A41,1)&lt;="M","1",LEFT(A41,1)&lt;="Z","2")</f>
        <v>2</v>
      </c>
      <c r="D41" s="8" cm="1">
        <f t="array" ref="D41">_xlfn.IFS(C41=$F$3,B41*$H$3,C41=$F$4,B41*$H$4,C41=$F$5,B41*$H$5)</f>
        <v>14</v>
      </c>
    </row>
    <row r="42" spans="1:4" ht="15.75" customHeight="1" x14ac:dyDescent="0.15">
      <c r="A42" s="2" t="s">
        <v>44</v>
      </c>
      <c r="B42" s="2">
        <v>8</v>
      </c>
      <c r="C42" t="str" cm="1">
        <f t="array" ref="C42">_xlfn.IFS(LEFT(A42,1)&lt;="F","0",LEFT(A42,1)&lt;="M","1",LEFT(A42,1)&lt;="Z","2")</f>
        <v>2</v>
      </c>
      <c r="D42" s="8" cm="1">
        <f t="array" ref="D42">_xlfn.IFS(C42=$F$3,B42*$H$3,C42=$F$4,B42*$H$4,C42=$F$5,B42*$H$5)</f>
        <v>16</v>
      </c>
    </row>
    <row r="43" spans="1:4" ht="15.75" customHeight="1" x14ac:dyDescent="0.15">
      <c r="A43" s="2" t="s">
        <v>45</v>
      </c>
      <c r="B43" s="2">
        <v>9</v>
      </c>
      <c r="C43" t="str" cm="1">
        <f t="array" ref="C43">_xlfn.IFS(LEFT(A43,1)&lt;="F","0",LEFT(A43,1)&lt;="M","1",LEFT(A43,1)&lt;="Z","2")</f>
        <v>2</v>
      </c>
      <c r="D43" s="8" cm="1">
        <f t="array" ref="D43">_xlfn.IFS(C43=$F$3,B43*$H$3,C43=$F$4,B43*$H$4,C43=$F$5,B43*$H$5)</f>
        <v>18</v>
      </c>
    </row>
    <row r="44" spans="1:4" ht="15.75" customHeight="1" x14ac:dyDescent="0.15">
      <c r="A44" s="2" t="s">
        <v>7</v>
      </c>
      <c r="B44" s="2">
        <v>10</v>
      </c>
      <c r="C44" t="str" cm="1">
        <f t="array" ref="C44">_xlfn.IFS(LEFT(A44,1)&lt;="F","0",LEFT(A44,1)&lt;="M","1",LEFT(A44,1)&lt;="Z","2")</f>
        <v>2</v>
      </c>
      <c r="D44" s="8" cm="1">
        <f t="array" ref="D44">_xlfn.IFS(C44=$F$3,B44*$H$3,C44=$F$4,B44*$H$4,C44=$F$5,B44*$H$5)</f>
        <v>20</v>
      </c>
    </row>
    <row r="45" spans="1:4" ht="15.75" customHeight="1" x14ac:dyDescent="0.15">
      <c r="A45" s="2" t="s">
        <v>46</v>
      </c>
      <c r="B45" s="2">
        <v>0.5</v>
      </c>
      <c r="C45" t="str" cm="1">
        <f t="array" ref="C45">_xlfn.IFS(LEFT(A45,1)&lt;="F","0",LEFT(A45,1)&lt;="M","1",LEFT(A45,1)&lt;="Z","2")</f>
        <v>2</v>
      </c>
      <c r="D45" s="8" cm="1">
        <f t="array" ref="D45">_xlfn.IFS(C45=$F$3,B45*$H$3,C45=$F$4,B45*$H$4,C45=$F$5,B45*$H$5)</f>
        <v>1</v>
      </c>
    </row>
    <row r="46" spans="1:4" ht="15.75" customHeight="1" x14ac:dyDescent="0.15">
      <c r="A46" s="2" t="s">
        <v>47</v>
      </c>
      <c r="B46" s="2">
        <v>1</v>
      </c>
      <c r="C46" t="str" cm="1">
        <f t="array" ref="C46">_xlfn.IFS(LEFT(A46,1)&lt;="F","0",LEFT(A46,1)&lt;="M","1",LEFT(A46,1)&lt;="Z","2")</f>
        <v>2</v>
      </c>
      <c r="D46" s="8" cm="1">
        <f t="array" ref="D46">_xlfn.IFS(C46=$F$3,B46*$H$3,C46=$F$4,B46*$H$4,C46=$F$5,B46*$H$5)</f>
        <v>2</v>
      </c>
    </row>
    <row r="47" spans="1:4" ht="15.75" customHeight="1" x14ac:dyDescent="0.15">
      <c r="A47" s="2" t="s">
        <v>48</v>
      </c>
      <c r="B47" s="2">
        <v>2</v>
      </c>
      <c r="C47" t="str" cm="1">
        <f t="array" ref="C47">_xlfn.IFS(LEFT(A47,1)&lt;="F","0",LEFT(A47,1)&lt;="M","1",LEFT(A47,1)&lt;="Z","2")</f>
        <v>0</v>
      </c>
      <c r="D47" s="8" cm="1">
        <f t="array" ref="D47">_xlfn.IFS(C47=$F$3,B47*$H$3,C47=$F$4,B47*$H$4,C47=$F$5,B47*$H$5)</f>
        <v>8</v>
      </c>
    </row>
    <row r="48" spans="1:4" ht="15.75" customHeight="1" x14ac:dyDescent="0.15">
      <c r="A48" s="2" t="s">
        <v>49</v>
      </c>
      <c r="B48" s="2">
        <v>3</v>
      </c>
      <c r="C48" t="str" cm="1">
        <f t="array" ref="C48">_xlfn.IFS(LEFT(A48,1)&lt;="F","0",LEFT(A48,1)&lt;="M","1",LEFT(A48,1)&lt;="Z","2")</f>
        <v>0</v>
      </c>
      <c r="D48" s="8" cm="1">
        <f t="array" ref="D48">_xlfn.IFS(C48=$F$3,B48*$H$3,C48=$F$4,B48*$H$4,C48=$F$5,B48*$H$5)</f>
        <v>12</v>
      </c>
    </row>
    <row r="49" spans="1:4" ht="15.75" customHeight="1" x14ac:dyDescent="0.15">
      <c r="A49" s="2" t="s">
        <v>50</v>
      </c>
      <c r="B49" s="2">
        <v>4</v>
      </c>
      <c r="C49" t="str" cm="1">
        <f t="array" ref="C49">_xlfn.IFS(LEFT(A49,1)&lt;="F","0",LEFT(A49,1)&lt;="M","1",LEFT(A49,1)&lt;="Z","2")</f>
        <v>0</v>
      </c>
      <c r="D49" s="8" cm="1">
        <f t="array" ref="D49">_xlfn.IFS(C49=$F$3,B49*$H$3,C49=$F$4,B49*$H$4,C49=$F$5,B49*$H$5)</f>
        <v>16</v>
      </c>
    </row>
    <row r="50" spans="1:4" ht="15.75" customHeight="1" x14ac:dyDescent="0.15">
      <c r="A50" s="2" t="s">
        <v>51</v>
      </c>
      <c r="B50" s="2">
        <v>5</v>
      </c>
      <c r="C50" t="str" cm="1">
        <f t="array" ref="C50">_xlfn.IFS(LEFT(A50,1)&lt;="F","0",LEFT(A50,1)&lt;="M","1",LEFT(A50,1)&lt;="Z","2")</f>
        <v>1</v>
      </c>
      <c r="D50" s="8" cm="1">
        <f t="array" ref="D50">_xlfn.IFS(C50=$F$3,B50*$H$3,C50=$F$4,B50*$H$4,C50=$F$5,B50*$H$5)</f>
        <v>15</v>
      </c>
    </row>
    <row r="51" spans="1:4" ht="13" x14ac:dyDescent="0.15">
      <c r="A51" s="2" t="s">
        <v>52</v>
      </c>
      <c r="B51" s="2">
        <v>6</v>
      </c>
      <c r="C51" t="str" cm="1">
        <f t="array" ref="C51">_xlfn.IFS(LEFT(A51,1)&lt;="F","0",LEFT(A51,1)&lt;="M","1",LEFT(A51,1)&lt;="Z","2")</f>
        <v>1</v>
      </c>
      <c r="D51" s="8" cm="1">
        <f t="array" ref="D51">_xlfn.IFS(C51=$F$3,B51*$H$3,C51=$F$4,B51*$H$4,C51=$F$5,B51*$H$5)</f>
        <v>18</v>
      </c>
    </row>
    <row r="52" spans="1:4" ht="13" x14ac:dyDescent="0.15">
      <c r="A52" s="2" t="s">
        <v>53</v>
      </c>
      <c r="B52" s="2">
        <v>7</v>
      </c>
      <c r="C52" t="str" cm="1">
        <f t="array" ref="C52">_xlfn.IFS(LEFT(A52,1)&lt;="F","0",LEFT(A52,1)&lt;="M","1",LEFT(A52,1)&lt;="Z","2")</f>
        <v>1</v>
      </c>
      <c r="D52" s="8" cm="1">
        <f t="array" ref="D52">_xlfn.IFS(C52=$F$3,B52*$H$3,C52=$F$4,B52*$H$4,C52=$F$5,B52*$H$5)</f>
        <v>21</v>
      </c>
    </row>
    <row r="53" spans="1:4" ht="13" x14ac:dyDescent="0.15">
      <c r="A53" s="2" t="s">
        <v>54</v>
      </c>
      <c r="B53" s="2">
        <v>8</v>
      </c>
      <c r="C53" t="str" cm="1">
        <f t="array" ref="C53">_xlfn.IFS(LEFT(A53,1)&lt;="F","0",LEFT(A53,1)&lt;="M","1",LEFT(A53,1)&lt;="Z","2")</f>
        <v>1</v>
      </c>
      <c r="D53" s="8" cm="1">
        <f t="array" ref="D53">_xlfn.IFS(C53=$F$3,B53*$H$3,C53=$F$4,B53*$H$4,C53=$F$5,B53*$H$5)</f>
        <v>24</v>
      </c>
    </row>
    <row r="54" spans="1:4" ht="13" x14ac:dyDescent="0.15">
      <c r="A54" s="2" t="s">
        <v>55</v>
      </c>
      <c r="B54" s="2">
        <v>9</v>
      </c>
      <c r="C54" t="str" cm="1">
        <f t="array" ref="C54">_xlfn.IFS(LEFT(A54,1)&lt;="F","0",LEFT(A54,1)&lt;="M","1",LEFT(A54,1)&lt;="Z","2")</f>
        <v>2</v>
      </c>
      <c r="D54" s="8" cm="1">
        <f t="array" ref="D54">_xlfn.IFS(C54=$F$3,B54*$H$3,C54=$F$4,B54*$H$4,C54=$F$5,B54*$H$5)</f>
        <v>18</v>
      </c>
    </row>
    <row r="55" spans="1:4" ht="13" x14ac:dyDescent="0.15">
      <c r="A55" s="2" t="s">
        <v>56</v>
      </c>
      <c r="B55" s="2">
        <v>10</v>
      </c>
      <c r="C55" t="str" cm="1">
        <f t="array" ref="C55">_xlfn.IFS(LEFT(A55,1)&lt;="F","0",LEFT(A55,1)&lt;="M","1",LEFT(A55,1)&lt;="Z","2")</f>
        <v>2</v>
      </c>
      <c r="D55" s="8" cm="1">
        <f t="array" ref="D55">_xlfn.IFS(C55=$F$3,B55*$H$3,C55=$F$4,B55*$H$4,C55=$F$5,B55*$H$5)</f>
        <v>20</v>
      </c>
    </row>
    <row r="56" spans="1:4" ht="13" x14ac:dyDescent="0.15">
      <c r="A56" s="2" t="s">
        <v>57</v>
      </c>
      <c r="B56" s="2">
        <v>0.5</v>
      </c>
      <c r="C56" t="str" cm="1">
        <f t="array" ref="C56">_xlfn.IFS(LEFT(A56,1)&lt;="F","0",LEFT(A56,1)&lt;="M","1",LEFT(A56,1)&lt;="Z","2")</f>
        <v>2</v>
      </c>
      <c r="D56" s="8" cm="1">
        <f t="array" ref="D56">_xlfn.IFS(C56=$F$3,B56*$H$3,C56=$F$4,B56*$H$4,C56=$F$5,B56*$H$5)</f>
        <v>1</v>
      </c>
    </row>
    <row r="57" spans="1:4" ht="13" x14ac:dyDescent="0.15">
      <c r="A57" s="2" t="s">
        <v>58</v>
      </c>
      <c r="B57" s="2">
        <v>1</v>
      </c>
      <c r="C57" t="str" cm="1">
        <f t="array" ref="C57">_xlfn.IFS(LEFT(A57,1)&lt;="F","0",LEFT(A57,1)&lt;="M","1",LEFT(A57,1)&lt;="Z","2")</f>
        <v>2</v>
      </c>
      <c r="D57" s="8" cm="1">
        <f t="array" ref="D57">_xlfn.IFS(C57=$F$3,B57*$H$3,C57=$F$4,B57*$H$4,C57=$F$5,B57*$H$5)</f>
        <v>2</v>
      </c>
    </row>
    <row r="58" spans="1:4" ht="13" x14ac:dyDescent="0.15">
      <c r="A58" s="2" t="s">
        <v>59</v>
      </c>
      <c r="B58" s="2">
        <v>2</v>
      </c>
      <c r="C58" t="str" cm="1">
        <f t="array" ref="C58">_xlfn.IFS(LEFT(A58,1)&lt;="F","0",LEFT(A58,1)&lt;="M","1",LEFT(A58,1)&lt;="Z","2")</f>
        <v>2</v>
      </c>
      <c r="D58" s="8" cm="1">
        <f t="array" ref="D58">_xlfn.IFS(C58=$F$3,B58*$H$3,C58=$F$4,B58*$H$4,C58=$F$5,B58*$H$5)</f>
        <v>4</v>
      </c>
    </row>
    <row r="59" spans="1:4" ht="13" x14ac:dyDescent="0.15">
      <c r="A59" s="2" t="s">
        <v>60</v>
      </c>
      <c r="B59" s="2">
        <v>3</v>
      </c>
      <c r="C59" t="str" cm="1">
        <f t="array" ref="C59">_xlfn.IFS(LEFT(A59,1)&lt;="F","0",LEFT(A59,1)&lt;="M","1",LEFT(A59,1)&lt;="Z","2")</f>
        <v>2</v>
      </c>
      <c r="D59" s="8" cm="1">
        <f t="array" ref="D59">_xlfn.IFS(C59=$F$3,B59*$H$3,C59=$F$4,B59*$H$4,C59=$F$5,B59*$H$5)</f>
        <v>6</v>
      </c>
    </row>
    <row r="60" spans="1:4" ht="13" x14ac:dyDescent="0.15">
      <c r="A60" s="2" t="s">
        <v>61</v>
      </c>
      <c r="B60" s="2">
        <v>4</v>
      </c>
      <c r="C60" t="str" cm="1">
        <f t="array" ref="C60">_xlfn.IFS(LEFT(A60,1)&lt;="F","0",LEFT(A60,1)&lt;="M","1",LEFT(A60,1)&lt;="Z","2")</f>
        <v>0</v>
      </c>
      <c r="D60" s="8" cm="1">
        <f t="array" ref="D60">_xlfn.IFS(C60=$F$3,B60*$H$3,C60=$F$4,B60*$H$4,C60=$F$5,B60*$H$5)</f>
        <v>16</v>
      </c>
    </row>
    <row r="61" spans="1:4" ht="13" x14ac:dyDescent="0.15">
      <c r="A61" s="2" t="s">
        <v>62</v>
      </c>
      <c r="B61" s="2">
        <v>5</v>
      </c>
      <c r="C61" t="str" cm="1">
        <f t="array" ref="C61">_xlfn.IFS(LEFT(A61,1)&lt;="F","0",LEFT(A61,1)&lt;="M","1",LEFT(A61,1)&lt;="Z","2")</f>
        <v>0</v>
      </c>
      <c r="D61" s="8" cm="1">
        <f t="array" ref="D61">_xlfn.IFS(C61=$F$3,B61*$H$3,C61=$F$4,B61*$H$4,C61=$F$5,B61*$H$5)</f>
        <v>20</v>
      </c>
    </row>
    <row r="62" spans="1:4" ht="13" x14ac:dyDescent="0.15">
      <c r="A62" s="2" t="s">
        <v>63</v>
      </c>
      <c r="B62" s="2">
        <v>6</v>
      </c>
      <c r="C62" t="str" cm="1">
        <f t="array" ref="C62">_xlfn.IFS(LEFT(A62,1)&lt;="F","0",LEFT(A62,1)&lt;="M","1",LEFT(A62,1)&lt;="Z","2")</f>
        <v>0</v>
      </c>
      <c r="D62" s="8" cm="1">
        <f t="array" ref="D62">_xlfn.IFS(C62=$F$3,B62*$H$3,C62=$F$4,B62*$H$4,C62=$F$5,B62*$H$5)</f>
        <v>24</v>
      </c>
    </row>
    <row r="63" spans="1:4" ht="13" x14ac:dyDescent="0.15">
      <c r="A63" s="2" t="s">
        <v>64</v>
      </c>
      <c r="B63" s="2">
        <v>7</v>
      </c>
      <c r="C63" t="str" cm="1">
        <f t="array" ref="C63">_xlfn.IFS(LEFT(A63,1)&lt;="F","0",LEFT(A63,1)&lt;="M","1",LEFT(A63,1)&lt;="Z","2")</f>
        <v>1</v>
      </c>
      <c r="D63" s="8" cm="1">
        <f t="array" ref="D63">_xlfn.IFS(C63=$F$3,B63*$H$3,C63=$F$4,B63*$H$4,C63=$F$5,B63*$H$5)</f>
        <v>21</v>
      </c>
    </row>
    <row r="64" spans="1:4" ht="13" x14ac:dyDescent="0.15">
      <c r="A64" s="2" t="s">
        <v>65</v>
      </c>
      <c r="B64" s="2">
        <v>8</v>
      </c>
      <c r="C64" t="str" cm="1">
        <f t="array" ref="C64">_xlfn.IFS(LEFT(A64,1)&lt;="F","0",LEFT(A64,1)&lt;="M","1",LEFT(A64,1)&lt;="Z","2")</f>
        <v>1</v>
      </c>
      <c r="D64" s="8" cm="1">
        <f t="array" ref="D64">_xlfn.IFS(C64=$F$3,B64*$H$3,C64=$F$4,B64*$H$4,C64=$F$5,B64*$H$5)</f>
        <v>24</v>
      </c>
    </row>
    <row r="65" spans="1:4" ht="13" x14ac:dyDescent="0.15">
      <c r="A65" s="2" t="s">
        <v>66</v>
      </c>
      <c r="B65" s="2">
        <v>9</v>
      </c>
      <c r="C65" t="str" cm="1">
        <f t="array" ref="C65">_xlfn.IFS(LEFT(A65,1)&lt;="F","0",LEFT(A65,1)&lt;="M","1",LEFT(A65,1)&lt;="Z","2")</f>
        <v>1</v>
      </c>
      <c r="D65" s="8" cm="1">
        <f t="array" ref="D65">_xlfn.IFS(C65=$F$3,B65*$H$3,C65=$F$4,B65*$H$4,C65=$F$5,B65*$H$5)</f>
        <v>27</v>
      </c>
    </row>
    <row r="66" spans="1:4" ht="13" x14ac:dyDescent="0.15">
      <c r="A66" s="2" t="s">
        <v>67</v>
      </c>
      <c r="B66" s="2">
        <v>10</v>
      </c>
      <c r="C66" t="str" cm="1">
        <f t="array" ref="C66">_xlfn.IFS(LEFT(A66,1)&lt;="F","0",LEFT(A66,1)&lt;="M","1",LEFT(A66,1)&lt;="Z","2")</f>
        <v>1</v>
      </c>
      <c r="D66" s="8" cm="1">
        <f t="array" ref="D66">_xlfn.IFS(C66=$F$3,B66*$H$3,C66=$F$4,B66*$H$4,C66=$F$5,B66*$H$5)</f>
        <v>30</v>
      </c>
    </row>
    <row r="67" spans="1:4" ht="13" x14ac:dyDescent="0.15">
      <c r="A67" s="2" t="s">
        <v>68</v>
      </c>
      <c r="B67" s="2">
        <v>0.5</v>
      </c>
      <c r="C67" t="str" cm="1">
        <f t="array" ref="C67">_xlfn.IFS(LEFT(A67,1)&lt;="F","0",LEFT(A67,1)&lt;="M","1",LEFT(A67,1)&lt;="Z","2")</f>
        <v>2</v>
      </c>
      <c r="D67" s="8" cm="1">
        <f t="array" ref="D67">_xlfn.IFS(C67=$F$3,B67*$H$3,C67=$F$4,B67*$H$4,C67=$F$5,B67*$H$5)</f>
        <v>1</v>
      </c>
    </row>
    <row r="68" spans="1:4" ht="13" x14ac:dyDescent="0.15">
      <c r="A68" s="2" t="s">
        <v>69</v>
      </c>
      <c r="B68" s="2">
        <v>1</v>
      </c>
      <c r="C68" t="str" cm="1">
        <f t="array" ref="C68">_xlfn.IFS(LEFT(A68,1)&lt;="F","0",LEFT(A68,1)&lt;="M","1",LEFT(A68,1)&lt;="Z","2")</f>
        <v>2</v>
      </c>
      <c r="D68" s="8" cm="1">
        <f t="array" ref="D68">_xlfn.IFS(C68=$F$3,B68*$H$3,C68=$F$4,B68*$H$4,C68=$F$5,B68*$H$5)</f>
        <v>2</v>
      </c>
    </row>
    <row r="69" spans="1:4" ht="13" x14ac:dyDescent="0.15">
      <c r="A69" s="2" t="s">
        <v>70</v>
      </c>
      <c r="B69" s="2">
        <v>2</v>
      </c>
      <c r="C69" t="str" cm="1">
        <f t="array" ref="C69">_xlfn.IFS(LEFT(A69,1)&lt;="F","0",LEFT(A69,1)&lt;="M","1",LEFT(A69,1)&lt;="Z","2")</f>
        <v>2</v>
      </c>
      <c r="D69" s="8" cm="1">
        <f t="array" ref="D69">_xlfn.IFS(C69=$F$3,B69*$H$3,C69=$F$4,B69*$H$4,C69=$F$5,B69*$H$5)</f>
        <v>4</v>
      </c>
    </row>
    <row r="70" spans="1:4" ht="13" x14ac:dyDescent="0.15">
      <c r="A70" s="2" t="s">
        <v>71</v>
      </c>
      <c r="B70" s="2">
        <v>3</v>
      </c>
      <c r="C70" t="str" cm="1">
        <f t="array" ref="C70">_xlfn.IFS(LEFT(A70,1)&lt;="F","0",LEFT(A70,1)&lt;="M","1",LEFT(A70,1)&lt;="Z","2")</f>
        <v>2</v>
      </c>
      <c r="D70" s="8" cm="1">
        <f t="array" ref="D70">_xlfn.IFS(C70=$F$3,B70*$H$3,C70=$F$4,B70*$H$4,C70=$F$5,B70*$H$5)</f>
        <v>6</v>
      </c>
    </row>
    <row r="71" spans="1:4" ht="13" x14ac:dyDescent="0.15">
      <c r="A71" s="2" t="s">
        <v>72</v>
      </c>
      <c r="B71" s="2">
        <v>4</v>
      </c>
      <c r="C71" t="str" cm="1">
        <f t="array" ref="C71">_xlfn.IFS(LEFT(A71,1)&lt;="F","0",LEFT(A71,1)&lt;="M","1",LEFT(A71,1)&lt;="Z","2")</f>
        <v>2</v>
      </c>
      <c r="D71" s="8" cm="1">
        <f t="array" ref="D71">_xlfn.IFS(C71=$F$3,B71*$H$3,C71=$F$4,B71*$H$4,C71=$F$5,B71*$H$5)</f>
        <v>8</v>
      </c>
    </row>
    <row r="72" spans="1:4" ht="13" x14ac:dyDescent="0.15">
      <c r="A72" s="2" t="s">
        <v>73</v>
      </c>
      <c r="B72" s="2">
        <v>5</v>
      </c>
      <c r="C72" t="str" cm="1">
        <f t="array" ref="C72">_xlfn.IFS(LEFT(A72,1)&lt;="F","0",LEFT(A72,1)&lt;="M","1",LEFT(A72,1)&lt;="Z","2")</f>
        <v>2</v>
      </c>
      <c r="D72" s="8" cm="1">
        <f t="array" ref="D72">_xlfn.IFS(C72=$F$3,B72*$H$3,C72=$F$4,B72*$H$4,C72=$F$5,B72*$H$5)</f>
        <v>10</v>
      </c>
    </row>
    <row r="73" spans="1:4" ht="13" x14ac:dyDescent="0.15">
      <c r="A73" s="2" t="s">
        <v>74</v>
      </c>
      <c r="B73" s="2">
        <v>6</v>
      </c>
      <c r="C73" t="str" cm="1">
        <f t="array" ref="C73">_xlfn.IFS(LEFT(A73,1)&lt;="F","0",LEFT(A73,1)&lt;="M","1",LEFT(A73,1)&lt;="Z","2")</f>
        <v>0</v>
      </c>
      <c r="D73" s="8" cm="1">
        <f t="array" ref="D73">_xlfn.IFS(C73=$F$3,B73*$H$3,C73=$F$4,B73*$H$4,C73=$F$5,B73*$H$5)</f>
        <v>24</v>
      </c>
    </row>
    <row r="74" spans="1:4" ht="13" x14ac:dyDescent="0.15">
      <c r="A74" s="2" t="s">
        <v>75</v>
      </c>
      <c r="B74" s="2">
        <v>7</v>
      </c>
      <c r="C74" t="str" cm="1">
        <f t="array" ref="C74">_xlfn.IFS(LEFT(A74,1)&lt;="F","0",LEFT(A74,1)&lt;="M","1",LEFT(A74,1)&lt;="Z","2")</f>
        <v>0</v>
      </c>
      <c r="D74" s="8" cm="1">
        <f t="array" ref="D74">_xlfn.IFS(C74=$F$3,B74*$H$3,C74=$F$4,B74*$H$4,C74=$F$5,B74*$H$5)</f>
        <v>28</v>
      </c>
    </row>
    <row r="75" spans="1:4" ht="13" x14ac:dyDescent="0.15">
      <c r="A75" s="2" t="s">
        <v>76</v>
      </c>
      <c r="B75" s="2">
        <v>8</v>
      </c>
      <c r="C75" t="str" cm="1">
        <f t="array" ref="C75">_xlfn.IFS(LEFT(A75,1)&lt;="F","0",LEFT(A75,1)&lt;="M","1",LEFT(A75,1)&lt;="Z","2")</f>
        <v>0</v>
      </c>
      <c r="D75" s="8" cm="1">
        <f t="array" ref="D75">_xlfn.IFS(C75=$F$3,B75*$H$3,C75=$F$4,B75*$H$4,C75=$F$5,B75*$H$5)</f>
        <v>32</v>
      </c>
    </row>
    <row r="76" spans="1:4" ht="13" x14ac:dyDescent="0.15">
      <c r="A76" s="2" t="s">
        <v>77</v>
      </c>
      <c r="B76" s="2">
        <v>9</v>
      </c>
      <c r="C76" t="str" cm="1">
        <f t="array" ref="C76">_xlfn.IFS(LEFT(A76,1)&lt;="F","0",LEFT(A76,1)&lt;="M","1",LEFT(A76,1)&lt;="Z","2")</f>
        <v>1</v>
      </c>
      <c r="D76" s="8" cm="1">
        <f t="array" ref="D76">_xlfn.IFS(C76=$F$3,B76*$H$3,C76=$F$4,B76*$H$4,C76=$F$5,B76*$H$5)</f>
        <v>27</v>
      </c>
    </row>
    <row r="77" spans="1:4" ht="13" x14ac:dyDescent="0.15">
      <c r="A77" s="2" t="s">
        <v>78</v>
      </c>
      <c r="B77" s="2">
        <v>10</v>
      </c>
      <c r="C77" t="str" cm="1">
        <f t="array" ref="C77">_xlfn.IFS(LEFT(A77,1)&lt;="F","0",LEFT(A77,1)&lt;="M","1",LEFT(A77,1)&lt;="Z","2")</f>
        <v>1</v>
      </c>
      <c r="D77" s="8" cm="1">
        <f t="array" ref="D77">_xlfn.IFS(C77=$F$3,B77*$H$3,C77=$F$4,B77*$H$4,C77=$F$5,B77*$H$5)</f>
        <v>30</v>
      </c>
    </row>
    <row r="78" spans="1:4" ht="13" x14ac:dyDescent="0.15">
      <c r="A78" s="2" t="s">
        <v>79</v>
      </c>
      <c r="B78" s="2">
        <v>0.5</v>
      </c>
      <c r="C78" t="str" cm="1">
        <f t="array" ref="C78">_xlfn.IFS(LEFT(A78,1)&lt;="F","0",LEFT(A78,1)&lt;="M","1",LEFT(A78,1)&lt;="Z","2")</f>
        <v>1</v>
      </c>
      <c r="D78" s="8" cm="1">
        <f t="array" ref="D78">_xlfn.IFS(C78=$F$3,B78*$H$3,C78=$F$4,B78*$H$4,C78=$F$5,B78*$H$5)</f>
        <v>1.5</v>
      </c>
    </row>
    <row r="79" spans="1:4" ht="13" x14ac:dyDescent="0.15">
      <c r="A79" s="2" t="s">
        <v>80</v>
      </c>
      <c r="B79" s="2">
        <v>1</v>
      </c>
      <c r="C79" t="str" cm="1">
        <f t="array" ref="C79">_xlfn.IFS(LEFT(A79,1)&lt;="F","0",LEFT(A79,1)&lt;="M","1",LEFT(A79,1)&lt;="Z","2")</f>
        <v>1</v>
      </c>
      <c r="D79" s="8" cm="1">
        <f t="array" ref="D79">_xlfn.IFS(C79=$F$3,B79*$H$3,C79=$F$4,B79*$H$4,C79=$F$5,B79*$H$5)</f>
        <v>3</v>
      </c>
    </row>
    <row r="80" spans="1:4" ht="13" x14ac:dyDescent="0.15">
      <c r="A80" s="2" t="s">
        <v>81</v>
      </c>
      <c r="B80" s="2">
        <v>2</v>
      </c>
      <c r="C80" t="str" cm="1">
        <f t="array" ref="C80">_xlfn.IFS(LEFT(A80,1)&lt;="F","0",LEFT(A80,1)&lt;="M","1",LEFT(A80,1)&lt;="Z","2")</f>
        <v>2</v>
      </c>
      <c r="D80" s="8" cm="1">
        <f t="array" ref="D80">_xlfn.IFS(C80=$F$3,B80*$H$3,C80=$F$4,B80*$H$4,C80=$F$5,B80*$H$5)</f>
        <v>4</v>
      </c>
    </row>
    <row r="81" spans="1:4" ht="13" x14ac:dyDescent="0.15">
      <c r="A81" s="2" t="s">
        <v>82</v>
      </c>
      <c r="B81" s="2">
        <v>3</v>
      </c>
      <c r="C81" t="str" cm="1">
        <f t="array" ref="C81">_xlfn.IFS(LEFT(A81,1)&lt;="F","0",LEFT(A81,1)&lt;="M","1",LEFT(A81,1)&lt;="Z","2")</f>
        <v>2</v>
      </c>
      <c r="D81" s="8" cm="1">
        <f t="array" ref="D81">_xlfn.IFS(C81=$F$3,B81*$H$3,C81=$F$4,B81*$H$4,C81=$F$5,B81*$H$5)</f>
        <v>6</v>
      </c>
    </row>
    <row r="82" spans="1:4" ht="13" x14ac:dyDescent="0.15">
      <c r="A82" s="2" t="s">
        <v>83</v>
      </c>
      <c r="B82" s="2">
        <v>4</v>
      </c>
      <c r="C82" t="str" cm="1">
        <f t="array" ref="C82">_xlfn.IFS(LEFT(A82,1)&lt;="F","0",LEFT(A82,1)&lt;="M","1",LEFT(A82,1)&lt;="Z","2")</f>
        <v>2</v>
      </c>
      <c r="D82" s="8" cm="1">
        <f t="array" ref="D82">_xlfn.IFS(C82=$F$3,B82*$H$3,C82=$F$4,B82*$H$4,C82=$F$5,B82*$H$5)</f>
        <v>8</v>
      </c>
    </row>
    <row r="83" spans="1:4" ht="13" x14ac:dyDescent="0.15">
      <c r="A83" s="2" t="s">
        <v>84</v>
      </c>
      <c r="B83" s="2">
        <v>5</v>
      </c>
      <c r="C83" t="str" cm="1">
        <f t="array" ref="C83">_xlfn.IFS(LEFT(A83,1)&lt;="F","0",LEFT(A83,1)&lt;="M","1",LEFT(A83,1)&lt;="Z","2")</f>
        <v>2</v>
      </c>
      <c r="D83" s="8" cm="1">
        <f t="array" ref="D83">_xlfn.IFS(C83=$F$3,B83*$H$3,C83=$F$4,B83*$H$4,C83=$F$5,B83*$H$5)</f>
        <v>10</v>
      </c>
    </row>
    <row r="84" spans="1:4" ht="13" x14ac:dyDescent="0.15">
      <c r="A84" s="2" t="s">
        <v>85</v>
      </c>
      <c r="B84" s="2">
        <v>6</v>
      </c>
      <c r="C84" t="str" cm="1">
        <f t="array" ref="C84">_xlfn.IFS(LEFT(A84,1)&lt;="F","0",LEFT(A84,1)&lt;="M","1",LEFT(A84,1)&lt;="Z","2")</f>
        <v>2</v>
      </c>
      <c r="D84" s="8" cm="1">
        <f t="array" ref="D84">_xlfn.IFS(C84=$F$3,B84*$H$3,C84=$F$4,B84*$H$4,C84=$F$5,B84*$H$5)</f>
        <v>12</v>
      </c>
    </row>
    <row r="85" spans="1:4" ht="13" x14ac:dyDescent="0.15">
      <c r="A85" s="2" t="s">
        <v>86</v>
      </c>
      <c r="B85" s="2">
        <v>7</v>
      </c>
      <c r="C85" t="str" cm="1">
        <f t="array" ref="C85">_xlfn.IFS(LEFT(A85,1)&lt;="F","0",LEFT(A85,1)&lt;="M","1",LEFT(A85,1)&lt;="Z","2")</f>
        <v>2</v>
      </c>
      <c r="D85" s="8" cm="1">
        <f t="array" ref="D85">_xlfn.IFS(C85=$F$3,B85*$H$3,C85=$F$4,B85*$H$4,C85=$F$5,B85*$H$5)</f>
        <v>14</v>
      </c>
    </row>
    <row r="86" spans="1:4" ht="13" x14ac:dyDescent="0.15">
      <c r="A86" s="2" t="s">
        <v>87</v>
      </c>
      <c r="B86" s="2">
        <v>8</v>
      </c>
      <c r="C86" t="str" cm="1">
        <f t="array" ref="C86">_xlfn.IFS(LEFT(A86,1)&lt;="F","0",LEFT(A86,1)&lt;="M","1",LEFT(A86,1)&lt;="Z","2")</f>
        <v>0</v>
      </c>
      <c r="D86" s="8" cm="1">
        <f t="array" ref="D86">_xlfn.IFS(C86=$F$3,B86*$H$3,C86=$F$4,B86*$H$4,C86=$F$5,B86*$H$5)</f>
        <v>32</v>
      </c>
    </row>
    <row r="87" spans="1:4" ht="13" x14ac:dyDescent="0.15">
      <c r="A87" s="2" t="s">
        <v>88</v>
      </c>
      <c r="B87" s="2">
        <v>9</v>
      </c>
      <c r="C87" t="str" cm="1">
        <f t="array" ref="C87">_xlfn.IFS(LEFT(A87,1)&lt;="F","0",LEFT(A87,1)&lt;="M","1",LEFT(A87,1)&lt;="Z","2")</f>
        <v>0</v>
      </c>
      <c r="D87" s="8" cm="1">
        <f t="array" ref="D87">_xlfn.IFS(C87=$F$3,B87*$H$3,C87=$F$4,B87*$H$4,C87=$F$5,B87*$H$5)</f>
        <v>36</v>
      </c>
    </row>
    <row r="88" spans="1:4" ht="13" x14ac:dyDescent="0.15">
      <c r="A88" s="2" t="s">
        <v>89</v>
      </c>
      <c r="B88" s="2">
        <v>10</v>
      </c>
      <c r="C88" t="str" cm="1">
        <f t="array" ref="C88">_xlfn.IFS(LEFT(A88,1)&lt;="F","0",LEFT(A88,1)&lt;="M","1",LEFT(A88,1)&lt;="Z","2")</f>
        <v>0</v>
      </c>
      <c r="D88" s="8" cm="1">
        <f t="array" ref="D88">_xlfn.IFS(C88=$F$3,B88*$H$3,C88=$F$4,B88*$H$4,C88=$F$5,B88*$H$5)</f>
        <v>40</v>
      </c>
    </row>
    <row r="89" spans="1:4" ht="13" x14ac:dyDescent="0.15">
      <c r="A89" s="2" t="s">
        <v>90</v>
      </c>
      <c r="B89" s="2">
        <v>0.5</v>
      </c>
      <c r="C89" t="str" cm="1">
        <f t="array" ref="C89">_xlfn.IFS(LEFT(A89,1)&lt;="F","0",LEFT(A89,1)&lt;="M","1",LEFT(A89,1)&lt;="Z","2")</f>
        <v>1</v>
      </c>
      <c r="D89" s="8" cm="1">
        <f t="array" ref="D89">_xlfn.IFS(C89=$F$3,B89*$H$3,C89=$F$4,B89*$H$4,C89=$F$5,B89*$H$5)</f>
        <v>1.5</v>
      </c>
    </row>
    <row r="90" spans="1:4" ht="13" x14ac:dyDescent="0.15">
      <c r="A90" s="2" t="s">
        <v>91</v>
      </c>
      <c r="B90" s="2">
        <v>1</v>
      </c>
      <c r="C90" t="str" cm="1">
        <f t="array" ref="C90">_xlfn.IFS(LEFT(A90,1)&lt;="F","0",LEFT(A90,1)&lt;="M","1",LEFT(A90,1)&lt;="Z","2")</f>
        <v>1</v>
      </c>
      <c r="D90" s="8" cm="1">
        <f t="array" ref="D90">_xlfn.IFS(C90=$F$3,B90*$H$3,C90=$F$4,B90*$H$4,C90=$F$5,B90*$H$5)</f>
        <v>3</v>
      </c>
    </row>
    <row r="91" spans="1:4" ht="13" x14ac:dyDescent="0.15">
      <c r="A91" s="2" t="s">
        <v>92</v>
      </c>
      <c r="B91" s="2">
        <v>2</v>
      </c>
      <c r="C91" t="str" cm="1">
        <f t="array" ref="C91">_xlfn.IFS(LEFT(A91,1)&lt;="F","0",LEFT(A91,1)&lt;="M","1",LEFT(A91,1)&lt;="Z","2")</f>
        <v>1</v>
      </c>
      <c r="D91" s="8" cm="1">
        <f t="array" ref="D91">_xlfn.IFS(C91=$F$3,B91*$H$3,C91=$F$4,B91*$H$4,C91=$F$5,B91*$H$5)</f>
        <v>6</v>
      </c>
    </row>
    <row r="92" spans="1:4" ht="13" x14ac:dyDescent="0.15">
      <c r="A92" s="2" t="s">
        <v>93</v>
      </c>
      <c r="B92" s="2">
        <v>3</v>
      </c>
      <c r="C92" t="str" cm="1">
        <f t="array" ref="C92">_xlfn.IFS(LEFT(A92,1)&lt;="F","0",LEFT(A92,1)&lt;="M","1",LEFT(A92,1)&lt;="Z","2")</f>
        <v>1</v>
      </c>
      <c r="D92" s="8" cm="1">
        <f t="array" ref="D92">_xlfn.IFS(C92=$F$3,B92*$H$3,C92=$F$4,B92*$H$4,C92=$F$5,B92*$H$5)</f>
        <v>9</v>
      </c>
    </row>
    <row r="93" spans="1:4" ht="13" x14ac:dyDescent="0.15">
      <c r="A93" s="2" t="s">
        <v>94</v>
      </c>
      <c r="B93" s="2">
        <v>4</v>
      </c>
      <c r="C93" t="str" cm="1">
        <f t="array" ref="C93">_xlfn.IFS(LEFT(A93,1)&lt;="F","0",LEFT(A93,1)&lt;="M","1",LEFT(A93,1)&lt;="Z","2")</f>
        <v>2</v>
      </c>
      <c r="D93" s="8" cm="1">
        <f t="array" ref="D93">_xlfn.IFS(C93=$F$3,B93*$H$3,C93=$F$4,B93*$H$4,C93=$F$5,B93*$H$5)</f>
        <v>8</v>
      </c>
    </row>
    <row r="94" spans="1:4" ht="13" x14ac:dyDescent="0.15">
      <c r="A94" s="2" t="s">
        <v>95</v>
      </c>
      <c r="B94" s="2">
        <v>5</v>
      </c>
      <c r="C94" t="str" cm="1">
        <f t="array" ref="C94">_xlfn.IFS(LEFT(A94,1)&lt;="F","0",LEFT(A94,1)&lt;="M","1",LEFT(A94,1)&lt;="Z","2")</f>
        <v>2</v>
      </c>
      <c r="D94" s="8" cm="1">
        <f t="array" ref="D94">_xlfn.IFS(C94=$F$3,B94*$H$3,C94=$F$4,B94*$H$4,C94=$F$5,B94*$H$5)</f>
        <v>10</v>
      </c>
    </row>
    <row r="95" spans="1:4" ht="13" x14ac:dyDescent="0.15">
      <c r="A95" s="2" t="s">
        <v>96</v>
      </c>
      <c r="B95" s="2">
        <v>6</v>
      </c>
      <c r="C95" t="str" cm="1">
        <f t="array" ref="C95">_xlfn.IFS(LEFT(A95,1)&lt;="F","0",LEFT(A95,1)&lt;="M","1",LEFT(A95,1)&lt;="Z","2")</f>
        <v>2</v>
      </c>
      <c r="D95" s="8" cm="1">
        <f t="array" ref="D95">_xlfn.IFS(C95=$F$3,B95*$H$3,C95=$F$4,B95*$H$4,C95=$F$5,B95*$H$5)</f>
        <v>12</v>
      </c>
    </row>
    <row r="96" spans="1:4" ht="13" x14ac:dyDescent="0.15">
      <c r="A96" s="2" t="s">
        <v>97</v>
      </c>
      <c r="B96" s="2">
        <v>7</v>
      </c>
      <c r="C96" t="str" cm="1">
        <f t="array" ref="C96">_xlfn.IFS(LEFT(A96,1)&lt;="F","0",LEFT(A96,1)&lt;="M","1",LEFT(A96,1)&lt;="Z","2")</f>
        <v>2</v>
      </c>
      <c r="D96" s="8" cm="1">
        <f t="array" ref="D96">_xlfn.IFS(C96=$F$3,B96*$H$3,C96=$F$4,B96*$H$4,C96=$F$5,B96*$H$5)</f>
        <v>14</v>
      </c>
    </row>
    <row r="97" spans="1:4" ht="13" x14ac:dyDescent="0.15">
      <c r="A97" s="2" t="s">
        <v>98</v>
      </c>
      <c r="B97" s="2">
        <v>8</v>
      </c>
      <c r="C97" t="str" cm="1">
        <f t="array" ref="C97">_xlfn.IFS(LEFT(A97,1)&lt;="F","0",LEFT(A97,1)&lt;="M","1",LEFT(A97,1)&lt;="Z","2")</f>
        <v>2</v>
      </c>
      <c r="D97" s="8" cm="1">
        <f t="array" ref="D97">_xlfn.IFS(C97=$F$3,B97*$H$3,C97=$F$4,B97*$H$4,C97=$F$5,B97*$H$5)</f>
        <v>16</v>
      </c>
    </row>
    <row r="98" spans="1:4" ht="13" x14ac:dyDescent="0.15">
      <c r="A98" s="2" t="s">
        <v>99</v>
      </c>
      <c r="B98" s="2">
        <v>9</v>
      </c>
      <c r="C98" t="str" cm="1">
        <f t="array" ref="C98">_xlfn.IFS(LEFT(A98,1)&lt;="F","0",LEFT(A98,1)&lt;="M","1",LEFT(A98,1)&lt;="Z","2")</f>
        <v>2</v>
      </c>
      <c r="D98" s="8" cm="1">
        <f t="array" ref="D98">_xlfn.IFS(C98=$F$3,B98*$H$3,C98=$F$4,B98*$H$4,C98=$F$5,B98*$H$5)</f>
        <v>18</v>
      </c>
    </row>
    <row r="99" spans="1:4" ht="13" x14ac:dyDescent="0.15">
      <c r="A99" s="2" t="s">
        <v>100</v>
      </c>
      <c r="B99" s="2">
        <v>10</v>
      </c>
      <c r="C99" t="str" cm="1">
        <f t="array" ref="C99">_xlfn.IFS(LEFT(A99,1)&lt;="F","0",LEFT(A99,1)&lt;="M","1",LEFT(A99,1)&lt;="Z","2")</f>
        <v>0</v>
      </c>
      <c r="D99" s="8" cm="1">
        <f t="array" ref="D99">_xlfn.IFS(C99=$F$3,B99*$H$3,C99=$F$4,B99*$H$4,C99=$F$5,B99*$H$5)</f>
        <v>40</v>
      </c>
    </row>
    <row r="100" spans="1:4" ht="13" x14ac:dyDescent="0.15">
      <c r="A100" s="2" t="s">
        <v>101</v>
      </c>
      <c r="B100" s="2">
        <v>0.5</v>
      </c>
      <c r="C100" t="str" cm="1">
        <f t="array" ref="C100">_xlfn.IFS(LEFT(A100,1)&lt;="F","0",LEFT(A100,1)&lt;="M","1",LEFT(A100,1)&lt;="Z","2")</f>
        <v>0</v>
      </c>
      <c r="D100" s="8" cm="1">
        <f t="array" ref="D100">_xlfn.IFS(C100=$F$3,B100*$H$3,C100=$F$4,B100*$H$4,C100=$F$5,B100*$H$5)</f>
        <v>2</v>
      </c>
    </row>
    <row r="101" spans="1:4" ht="13" x14ac:dyDescent="0.15">
      <c r="A101" s="2" t="s">
        <v>102</v>
      </c>
      <c r="B101" s="2">
        <v>1</v>
      </c>
      <c r="C101" t="str" cm="1">
        <f t="array" ref="C101">_xlfn.IFS(LEFT(A101,1)&lt;="F","0",LEFT(A101,1)&lt;="M","1",LEFT(A101,1)&lt;="Z","2")</f>
        <v>0</v>
      </c>
      <c r="D101" s="8" cm="1">
        <f t="array" ref="D101">_xlfn.IFS(C101=$F$3,B101*$H$3,C101=$F$4,B101*$H$4,C101=$F$5,B101*$H$5)</f>
        <v>4</v>
      </c>
    </row>
  </sheetData>
  <mergeCells count="1">
    <mergeCell ref="F1:H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G2" sqref="G2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  <col min="7" max="7" width="28" bestFit="1" customWidth="1"/>
  </cols>
  <sheetData>
    <row r="1" spans="1:26" ht="15.75" customHeight="1" x14ac:dyDescent="0.15">
      <c r="A1" s="1" t="s">
        <v>103</v>
      </c>
      <c r="B1" s="1" t="s">
        <v>104</v>
      </c>
      <c r="C1" s="1" t="s">
        <v>3</v>
      </c>
      <c r="D1" s="3" t="s">
        <v>117</v>
      </c>
      <c r="E1" s="3" t="s">
        <v>118</v>
      </c>
      <c r="F1" s="3" t="s">
        <v>119</v>
      </c>
      <c r="G1" s="1" t="s">
        <v>120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105</v>
      </c>
      <c r="B2" s="10">
        <v>55</v>
      </c>
      <c r="D2" s="2" t="s">
        <v>105</v>
      </c>
      <c r="E2">
        <f>COUNTIF($A$2:$A$47,D2)</f>
        <v>11</v>
      </c>
      <c r="F2">
        <f>SUMIF($A$2:$A$47,D2,$B$2:$B$47)</f>
        <v>525</v>
      </c>
      <c r="G2" s="8">
        <f>SUMIFS($C$2:$C$47,$A$2:$A$47,$D$2,$B$2:$B$47,"&gt;80")</f>
        <v>0</v>
      </c>
    </row>
    <row r="3" spans="1:26" ht="15.75" customHeight="1" x14ac:dyDescent="0.15">
      <c r="A3" s="2" t="s">
        <v>106</v>
      </c>
      <c r="B3" s="10">
        <v>70</v>
      </c>
      <c r="C3" s="9">
        <v>80</v>
      </c>
      <c r="D3" s="2" t="s">
        <v>106</v>
      </c>
      <c r="E3">
        <f t="shared" ref="E3:E6" si="0">COUNTIF($A$2:$A$47,D3)</f>
        <v>14</v>
      </c>
      <c r="F3">
        <f t="shared" ref="F3:F5" si="1">SUMIF($A$2:$A$47,D3,$B$2:$B$47)</f>
        <v>755</v>
      </c>
      <c r="G3" s="8"/>
    </row>
    <row r="4" spans="1:26" ht="15.75" customHeight="1" x14ac:dyDescent="0.15">
      <c r="A4" s="2" t="s">
        <v>107</v>
      </c>
      <c r="B4" s="10">
        <v>40</v>
      </c>
      <c r="C4" s="9">
        <v>60</v>
      </c>
      <c r="D4" s="2" t="s">
        <v>107</v>
      </c>
      <c r="E4">
        <f t="shared" si="0"/>
        <v>11</v>
      </c>
      <c r="F4">
        <f t="shared" si="1"/>
        <v>555</v>
      </c>
      <c r="G4" s="8"/>
    </row>
    <row r="5" spans="1:26" ht="15.75" customHeight="1" x14ac:dyDescent="0.15">
      <c r="A5" s="2" t="s">
        <v>105</v>
      </c>
      <c r="B5" s="10">
        <v>20</v>
      </c>
      <c r="C5" s="9">
        <v>100</v>
      </c>
      <c r="D5" s="2" t="s">
        <v>108</v>
      </c>
      <c r="E5">
        <f t="shared" si="0"/>
        <v>7</v>
      </c>
      <c r="F5">
        <f t="shared" si="1"/>
        <v>380</v>
      </c>
      <c r="G5" s="8"/>
    </row>
    <row r="6" spans="1:26" ht="15.75" customHeight="1" x14ac:dyDescent="0.15">
      <c r="A6" s="2" t="s">
        <v>108</v>
      </c>
      <c r="B6" s="10">
        <v>90</v>
      </c>
      <c r="C6" s="9">
        <v>30</v>
      </c>
      <c r="D6" s="2" t="s">
        <v>109</v>
      </c>
      <c r="E6">
        <f t="shared" si="0"/>
        <v>3</v>
      </c>
      <c r="F6">
        <f>SUMIF($A$2:$A$47,D6,$B$2:$B$47)</f>
        <v>160</v>
      </c>
      <c r="G6" s="8"/>
    </row>
    <row r="7" spans="1:26" ht="15.75" customHeight="1" x14ac:dyDescent="0.15">
      <c r="A7" s="2" t="s">
        <v>106</v>
      </c>
      <c r="B7" s="10">
        <v>50</v>
      </c>
      <c r="C7" s="9">
        <v>40</v>
      </c>
    </row>
    <row r="8" spans="1:26" ht="15.75" customHeight="1" x14ac:dyDescent="0.15">
      <c r="A8" s="2" t="s">
        <v>107</v>
      </c>
      <c r="B8" s="10">
        <v>60</v>
      </c>
      <c r="C8" s="9">
        <v>55</v>
      </c>
    </row>
    <row r="9" spans="1:26" ht="15.75" customHeight="1" x14ac:dyDescent="0.15">
      <c r="A9" s="2" t="s">
        <v>105</v>
      </c>
      <c r="B9" s="10">
        <v>45</v>
      </c>
    </row>
    <row r="10" spans="1:26" ht="15.75" customHeight="1" x14ac:dyDescent="0.15">
      <c r="A10" s="2" t="s">
        <v>106</v>
      </c>
      <c r="B10" s="10">
        <v>25</v>
      </c>
      <c r="C10" s="9">
        <v>85</v>
      </c>
    </row>
    <row r="11" spans="1:26" ht="15.75" customHeight="1" x14ac:dyDescent="0.15">
      <c r="A11" s="2" t="s">
        <v>108</v>
      </c>
      <c r="B11" s="10">
        <v>35</v>
      </c>
      <c r="C11" s="9">
        <v>50</v>
      </c>
    </row>
    <row r="12" spans="1:26" ht="15.75" customHeight="1" x14ac:dyDescent="0.15">
      <c r="A12" s="2" t="s">
        <v>109</v>
      </c>
      <c r="B12" s="10">
        <v>60</v>
      </c>
      <c r="C12" s="9">
        <v>95</v>
      </c>
    </row>
    <row r="13" spans="1:26" ht="15.75" customHeight="1" x14ac:dyDescent="0.15">
      <c r="A13" s="2" t="s">
        <v>107</v>
      </c>
      <c r="B13" s="10">
        <v>80</v>
      </c>
    </row>
    <row r="14" spans="1:26" ht="15.75" customHeight="1" x14ac:dyDescent="0.15">
      <c r="A14" s="2" t="s">
        <v>106</v>
      </c>
      <c r="B14" s="10">
        <v>40</v>
      </c>
      <c r="C14" s="9">
        <v>45</v>
      </c>
    </row>
    <row r="15" spans="1:26" ht="15.75" customHeight="1" x14ac:dyDescent="0.15">
      <c r="A15" s="2" t="s">
        <v>105</v>
      </c>
      <c r="B15" s="10">
        <v>65</v>
      </c>
      <c r="C15" s="9">
        <v>65</v>
      </c>
    </row>
    <row r="16" spans="1:26" ht="15.75" customHeight="1" x14ac:dyDescent="0.15">
      <c r="A16" s="2" t="s">
        <v>107</v>
      </c>
      <c r="B16" s="10">
        <v>55</v>
      </c>
      <c r="C16" s="9">
        <v>30</v>
      </c>
    </row>
    <row r="17" spans="1:3" ht="15.75" customHeight="1" x14ac:dyDescent="0.15">
      <c r="A17" s="2" t="s">
        <v>108</v>
      </c>
      <c r="B17" s="10">
        <v>70</v>
      </c>
    </row>
    <row r="18" spans="1:3" ht="15.75" customHeight="1" x14ac:dyDescent="0.15">
      <c r="A18" s="2" t="s">
        <v>106</v>
      </c>
      <c r="B18" s="10">
        <v>45</v>
      </c>
      <c r="C18" s="9">
        <v>80</v>
      </c>
    </row>
    <row r="19" spans="1:3" ht="15.75" customHeight="1" x14ac:dyDescent="0.15">
      <c r="A19" s="2" t="s">
        <v>105</v>
      </c>
      <c r="B19" s="10">
        <v>25</v>
      </c>
      <c r="C19" s="9">
        <v>60</v>
      </c>
    </row>
    <row r="20" spans="1:3" ht="15.75" customHeight="1" x14ac:dyDescent="0.15">
      <c r="A20" s="2" t="s">
        <v>106</v>
      </c>
      <c r="B20" s="10">
        <v>35</v>
      </c>
    </row>
    <row r="21" spans="1:3" ht="15.75" customHeight="1" x14ac:dyDescent="0.15">
      <c r="A21" s="2" t="s">
        <v>107</v>
      </c>
      <c r="B21" s="10">
        <v>60</v>
      </c>
      <c r="C21" s="9">
        <v>30</v>
      </c>
    </row>
    <row r="22" spans="1:3" ht="15.75" customHeight="1" x14ac:dyDescent="0.15">
      <c r="A22" s="2" t="s">
        <v>105</v>
      </c>
      <c r="B22" s="10">
        <v>70</v>
      </c>
      <c r="C22" s="9">
        <v>40</v>
      </c>
    </row>
    <row r="23" spans="1:3" ht="15.75" customHeight="1" x14ac:dyDescent="0.15">
      <c r="A23" s="2" t="s">
        <v>106</v>
      </c>
      <c r="B23" s="10">
        <v>45</v>
      </c>
      <c r="C23" s="9">
        <v>55</v>
      </c>
    </row>
    <row r="24" spans="1:3" ht="15.75" customHeight="1" x14ac:dyDescent="0.15">
      <c r="A24" s="2" t="s">
        <v>108</v>
      </c>
      <c r="B24" s="10">
        <v>25</v>
      </c>
      <c r="C24" s="9">
        <v>70</v>
      </c>
    </row>
    <row r="25" spans="1:3" ht="15.75" customHeight="1" x14ac:dyDescent="0.15">
      <c r="A25" s="2" t="s">
        <v>109</v>
      </c>
      <c r="B25" s="10">
        <v>35</v>
      </c>
    </row>
    <row r="26" spans="1:3" ht="15.75" customHeight="1" x14ac:dyDescent="0.15">
      <c r="A26" s="2" t="s">
        <v>107</v>
      </c>
      <c r="B26" s="10">
        <v>60</v>
      </c>
      <c r="C26" s="9">
        <v>50</v>
      </c>
    </row>
    <row r="27" spans="1:3" ht="15.75" customHeight="1" x14ac:dyDescent="0.15">
      <c r="A27" s="2" t="s">
        <v>106</v>
      </c>
      <c r="B27" s="10">
        <v>80</v>
      </c>
      <c r="C27" s="9">
        <v>95</v>
      </c>
    </row>
    <row r="28" spans="1:3" ht="15.75" customHeight="1" x14ac:dyDescent="0.15">
      <c r="A28" s="2" t="s">
        <v>105</v>
      </c>
      <c r="B28" s="10">
        <v>40</v>
      </c>
      <c r="C28" s="9">
        <v>75</v>
      </c>
    </row>
    <row r="29" spans="1:3" ht="15.75" customHeight="1" x14ac:dyDescent="0.15">
      <c r="A29" s="2" t="s">
        <v>107</v>
      </c>
      <c r="B29" s="10">
        <v>65</v>
      </c>
      <c r="C29" s="9">
        <v>45</v>
      </c>
    </row>
    <row r="30" spans="1:3" ht="15.75" customHeight="1" x14ac:dyDescent="0.15">
      <c r="A30" s="2" t="s">
        <v>106</v>
      </c>
      <c r="B30" s="10">
        <v>55</v>
      </c>
      <c r="C30" s="9">
        <v>65</v>
      </c>
    </row>
    <row r="31" spans="1:3" ht="15.75" customHeight="1" x14ac:dyDescent="0.15">
      <c r="A31" s="2" t="s">
        <v>108</v>
      </c>
      <c r="B31" s="10">
        <v>70</v>
      </c>
      <c r="C31" s="9">
        <v>30</v>
      </c>
    </row>
    <row r="32" spans="1:3" ht="15.75" customHeight="1" x14ac:dyDescent="0.15">
      <c r="A32" s="2" t="s">
        <v>105</v>
      </c>
      <c r="B32" s="10">
        <v>45</v>
      </c>
    </row>
    <row r="33" spans="1:3" ht="15.75" customHeight="1" x14ac:dyDescent="0.15">
      <c r="A33" s="2" t="s">
        <v>106</v>
      </c>
      <c r="B33" s="10">
        <v>25</v>
      </c>
      <c r="C33" s="9">
        <v>80</v>
      </c>
    </row>
    <row r="34" spans="1:3" ht="15.75" customHeight="1" x14ac:dyDescent="0.15">
      <c r="A34" s="2" t="s">
        <v>107</v>
      </c>
      <c r="B34" s="10">
        <v>35</v>
      </c>
      <c r="C34" s="9">
        <v>60</v>
      </c>
    </row>
    <row r="35" spans="1:3" ht="15.75" customHeight="1" x14ac:dyDescent="0.15">
      <c r="A35" s="2" t="s">
        <v>105</v>
      </c>
      <c r="B35" s="10">
        <v>60</v>
      </c>
      <c r="C35" s="9">
        <v>100</v>
      </c>
    </row>
    <row r="36" spans="1:3" ht="15.75" customHeight="1" x14ac:dyDescent="0.15">
      <c r="A36" s="2" t="s">
        <v>106</v>
      </c>
      <c r="B36" s="10">
        <v>80</v>
      </c>
      <c r="C36" s="9">
        <v>30</v>
      </c>
    </row>
    <row r="37" spans="1:3" ht="15.75" customHeight="1" x14ac:dyDescent="0.15">
      <c r="A37" s="2" t="s">
        <v>108</v>
      </c>
      <c r="B37" s="10">
        <v>40</v>
      </c>
    </row>
    <row r="38" spans="1:3" ht="15.75" customHeight="1" x14ac:dyDescent="0.15">
      <c r="A38" s="2" t="s">
        <v>109</v>
      </c>
      <c r="B38" s="10">
        <v>65</v>
      </c>
      <c r="C38" s="9">
        <v>55</v>
      </c>
    </row>
    <row r="39" spans="1:3" ht="15.75" customHeight="1" x14ac:dyDescent="0.15">
      <c r="A39" s="2" t="s">
        <v>107</v>
      </c>
      <c r="B39" s="10">
        <v>55</v>
      </c>
      <c r="C39" s="9">
        <v>70</v>
      </c>
    </row>
    <row r="40" spans="1:3" ht="15.75" customHeight="1" x14ac:dyDescent="0.15">
      <c r="A40" s="2" t="s">
        <v>106</v>
      </c>
      <c r="B40" s="10">
        <v>70</v>
      </c>
      <c r="C40" s="9">
        <v>85</v>
      </c>
    </row>
    <row r="41" spans="1:3" ht="15.75" customHeight="1" x14ac:dyDescent="0.15">
      <c r="A41" s="2" t="s">
        <v>105</v>
      </c>
      <c r="B41" s="10">
        <v>40</v>
      </c>
      <c r="C41" s="9">
        <v>50</v>
      </c>
    </row>
    <row r="42" spans="1:3" ht="15.75" customHeight="1" x14ac:dyDescent="0.15">
      <c r="A42" s="2" t="s">
        <v>107</v>
      </c>
      <c r="B42" s="10">
        <v>20</v>
      </c>
      <c r="C42" s="9">
        <v>95</v>
      </c>
    </row>
    <row r="43" spans="1:3" ht="15.75" customHeight="1" x14ac:dyDescent="0.15">
      <c r="A43" s="2" t="s">
        <v>106</v>
      </c>
      <c r="B43" s="10">
        <v>90</v>
      </c>
      <c r="C43" s="9">
        <v>75</v>
      </c>
    </row>
    <row r="44" spans="1:3" ht="15.75" customHeight="1" x14ac:dyDescent="0.15">
      <c r="A44" s="2" t="s">
        <v>108</v>
      </c>
      <c r="B44" s="10">
        <v>50</v>
      </c>
      <c r="C44" s="9">
        <v>45</v>
      </c>
    </row>
    <row r="45" spans="1:3" ht="15.75" customHeight="1" x14ac:dyDescent="0.15">
      <c r="A45" s="2" t="s">
        <v>105</v>
      </c>
      <c r="B45" s="10">
        <v>60</v>
      </c>
      <c r="C45" s="9">
        <v>65</v>
      </c>
    </row>
    <row r="46" spans="1:3" ht="15.75" customHeight="1" x14ac:dyDescent="0.15">
      <c r="A46" s="2" t="s">
        <v>106</v>
      </c>
      <c r="B46" s="10">
        <v>45</v>
      </c>
    </row>
    <row r="47" spans="1:3" ht="15.75" customHeight="1" x14ac:dyDescent="0.15">
      <c r="A47" s="2" t="s">
        <v>107</v>
      </c>
      <c r="B47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Oancea</cp:lastModifiedBy>
  <dcterms:created xsi:type="dcterms:W3CDTF">2026-02-14T16:07:39Z</dcterms:created>
  <dcterms:modified xsi:type="dcterms:W3CDTF">2026-02-27T16:33:05Z</dcterms:modified>
</cp:coreProperties>
</file>